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2.xml" ContentType="application/vnd.openxmlformats-officedocument.spreadsheetml.table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661362bbd04c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38326ce5acd541c1"/>
    <x:sheet xmlns:r="http://schemas.openxmlformats.org/officeDocument/2006/relationships" name="Question Guide" sheetId="2" r:id="R6ce8fbe8b572419b"/>
    <x:sheet xmlns:r="http://schemas.openxmlformats.org/officeDocument/2006/relationships" name="SME-01" sheetId="3" r:id="Rc9261584fd0a4947"/>
    <x:sheet xmlns:r="http://schemas.openxmlformats.org/officeDocument/2006/relationships" name="SME-02" sheetId="4" r:id="R875da12fb7714bdb"/>
    <x:sheet xmlns:r="http://schemas.openxmlformats.org/officeDocument/2006/relationships" name="SME-03" sheetId="5" r:id="R301d730c659c4325"/>
    <x:sheet xmlns:r="http://schemas.openxmlformats.org/officeDocument/2006/relationships" name="SME-04" sheetId="6" r:id="Red6b228fac42455e"/>
    <x:sheet xmlns:r="http://schemas.openxmlformats.org/officeDocument/2006/relationships" name="SME-05" sheetId="7" r:id="Rce1add5aaf584e59"/>
    <x:sheet xmlns:r="http://schemas.openxmlformats.org/officeDocument/2006/relationships" name="SME-06" sheetId="8" r:id="Rd40c31135c75408f"/>
    <x:sheet xmlns:r="http://schemas.openxmlformats.org/officeDocument/2006/relationships" name="SME-07" sheetId="9" r:id="R4f23ab641e114cf9"/>
    <x:sheet xmlns:r="http://schemas.openxmlformats.org/officeDocument/2006/relationships" name="SME-08" sheetId="10" r:id="Rc61145ecbb894f35"/>
    <x:sheet xmlns:r="http://schemas.openxmlformats.org/officeDocument/2006/relationships" name="SME-09" sheetId="11" r:id="Rff7a2358745d48ca"/>
    <x:sheet xmlns:r="http://schemas.openxmlformats.org/officeDocument/2006/relationships" name="SME-10" sheetId="12" r:id="R9a7f73d331dc4ed8"/>
    <x:sheet xmlns:r="http://schemas.openxmlformats.org/officeDocument/2006/relationships" name="Data Log" sheetId="13" r:id="R61ff4d50f3ef4b6e"/>
    <x:sheet xmlns:r="http://schemas.openxmlformats.org/officeDocument/2006/relationships" name="Results" sheetId="14" r:id="R8bb422dbec4c422e"/>
    <x:sheet xmlns:r="http://schemas.openxmlformats.org/officeDocument/2006/relationships" name="Sources" sheetId="15" r:id="R6f53ea2ef6d94a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"/>
    <x:numFmt numFmtId="202" formatCode="0%"/>
  </x:numFmts>
  <x:fonts count="9">
    <x:font>
      <x:sz val="11"/>
      <x:name val="Carlito"/>
    </x:font>
    <x:font>
      <x:b/>
      <x:sz val="18"/>
      <x:color rgb="FFFFFFFF"/>
      <x:name val="Aptos Display"/>
    </x:font>
    <x:font>
      <x:b/>
      <x:sz val="11"/>
      <x:color rgb="FFFFFFFF"/>
      <x:name val="Aptos"/>
    </x:font>
    <x:font>
      <x:b/>
      <x:sz val="11"/>
      <x:color rgb="FF1F2937"/>
      <x:name val="Aptos"/>
    </x:font>
    <x:font>
      <x:sz val="11"/>
      <x:name val="Aptos"/>
    </x:font>
    <x:font>
      <x:b/>
      <x:sz val="11"/>
      <x:name val="Aptos"/>
    </x:font>
    <x:font>
      <x:b/>
      <x:sz val="11"/>
      <x:color rgb="FF9C0006"/>
      <x:name val="Aptos"/>
    </x:font>
    <x:font>
      <x:i/>
      <x:sz val="11"/>
      <x:name val="Aptos"/>
    </x:font>
    <x:font>
      <x:i/>
      <x:sz val="11"/>
      <x:color rgb="FF666666"/>
      <x:name val="Aptos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2F75B5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E7E6E6"/>
      </x:patternFill>
    </x:fill>
  </x:fills>
  <x:borders count="6">
    <x:border/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8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2" fillId="3" borderId="3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0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3" fillId="4" borderId="4" xfId="0" applyNumberFormat="1" applyFont="1" applyFill="1" applyBorder="1" applyAlignment="1">
      <x:alignment vertical="top" wrapText="1"/>
    </x:xf>
    <x:xf numFmtId="0" fontId="4" fillId="5" borderId="4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0" fontId="3" fillId="4" borderId="5" xfId="0" applyNumberFormat="1" applyFont="1" applyFill="1" applyBorder="1" applyAlignment="1">
      <x:alignment vertical="top" wrapText="1"/>
    </x:xf>
    <x:xf numFmtId="0" fontId="4" fillId="5" borderId="5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center"/>
    </x:xf>
    <x:xf numFmtId="0" fontId="5" fillId="6" borderId="0" xfId="0" applyNumberFormat="1" applyFont="1" applyFill="1" applyBorder="1" applyAlignment="1">
      <x:alignment horizontal="center" wrapText="1"/>
    </x:xf>
    <x:xf numFmtId="0" fontId="5" fillId="6" borderId="0" xfId="0" applyNumberFormat="1" applyFont="1" applyFill="1" applyBorder="1" applyAlignment="1">
      <x:alignment horizontal="center" vertical="top" wrapText="1"/>
    </x:xf>
    <x:xf numFmtId="0" fontId="5" fillId="6" borderId="4" xfId="0" applyNumberFormat="1" applyFont="1" applyFill="1" applyBorder="1" applyAlignment="1">
      <x:alignment horizontal="center" vertical="top" wrapText="1"/>
    </x:xf>
    <x:xf numFmtId="0" fontId="5" fillId="6" borderId="5" xfId="0" applyNumberFormat="1" applyFont="1" applyFill="1" applyBorder="1" applyAlignment="1">
      <x:alignment horizontal="center" vertical="top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wrapText="1"/>
    </x:xf>
    <x:xf numFmtId="0" fontId="4" fillId="7" borderId="4" xfId="0" applyNumberFormat="1" applyFont="1" applyFill="1" applyBorder="1" applyAlignment="1">
      <x:alignment vertical="top" wrapText="1"/>
    </x:xf>
    <x:xf numFmtId="0" fontId="4" fillId="7" borderId="5" xfId="0" applyNumberFormat="1" applyFont="1" applyFill="1" applyBorder="1" applyAlignment="1">
      <x:alignment vertical="top" wrapText="1"/>
    </x:xf>
    <x:xf numFmtId="0" fontId="4" fillId="6" borderId="4" xfId="0" applyNumberFormat="1" applyFont="1" applyFill="1" applyBorder="1" applyAlignment="1">
      <x:alignment vertical="top" wrapText="1"/>
    </x:xf>
    <x:xf numFmtId="0" fontId="4" fillId="6" borderId="5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vertical="top" wrapText="1"/>
    </x:xf>
    <x:xf numFmtId="0" fontId="5" fillId="4" borderId="4" xfId="0" applyNumberFormat="1" applyFont="1" applyFill="1" applyBorder="1" applyAlignment="1">
      <x:alignment vertical="top" wrapText="1"/>
    </x:xf>
    <x:xf numFmtId="0" fontId="5" fillId="4" borderId="5" xfId="0" applyNumberFormat="1" applyFont="1" applyFill="1" applyBorder="1" applyAlignment="1">
      <x:alignment vertical="top" wrapText="1"/>
    </x:xf>
    <x:xf numFmtId="200" fontId="4" fillId="5" borderId="4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0" xfId="0" applyNumberFormat="1" applyFont="1" applyFill="1" applyBorder="1" applyAlignment="1">
      <x:alignment horizontal="center"/>
    </x:xf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8" fillId="8" borderId="0" xfId="0" applyNumberFormat="1" applyFont="1" applyFill="1" applyBorder="1" applyAlignment="1">
      <x:alignment horizontal="center" wrapText="1"/>
    </x:xf>
    <x:xf numFmtId="0" fontId="8" fillId="8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vertical="top" wrapText="1"/>
    </x:xf>
    <x:xf numFmtId="0" fontId="8" fillId="8" borderId="0" xfId="0" applyNumberFormat="1" applyFont="1" applyFill="1" applyBorder="1" applyAlignment="1">
      <x:alignment horizontal="center" vertical="top" wrapText="1"/>
    </x:xf>
    <x:xf numFmtId="0" fontId="8" fillId="8" borderId="0" xfId="0" applyNumberFormat="1" applyFont="1" applyFill="1" applyBorder="1" applyAlignment="1">
      <x:alignment vertical="top" wrapText="1"/>
    </x:xf>
    <x:xf numFmtId="0" fontId="8" fillId="8" borderId="5" xfId="0" applyNumberFormat="1" applyFont="1" applyFill="1" applyBorder="1" applyAlignment="1">
      <x:alignment horizontal="center" vertical="top" wrapText="1"/>
    </x:xf>
    <x:xf numFmtId="0" fontId="8" fillId="8" borderId="5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1" fontId="4" fillId="0" borderId="0" xfId="0" applyNumberFormat="1" applyFont="1" applyFill="1" applyBorder="1"/>
    <x:xf numFmtId="202" fontId="4" fillId="0" borderId="0" xfId="0" applyNumberFormat="1" applyFont="1" applyFill="1" applyBorder="1"/>
    <x:xf numFmtId="201" fontId="4" fillId="0" borderId="0" xfId="0" applyNumberFormat="1" applyFont="1" applyFill="1" applyBorder="1" applyAlignment="1">
      <x:alignment wrapText="1"/>
    </x:xf>
    <x:xf numFmtId="202" fontId="4" fillId="0" borderId="0" xfId="0" applyNumberFormat="1" applyFont="1" applyFill="1" applyBorder="1" applyAlignment="1">
      <x:alignment wrapText="1"/>
    </x:xf>
    <x:xf numFmtId="201" fontId="4" fillId="0" borderId="0" xfId="0" applyNumberFormat="1" applyFont="1" applyFill="1" applyBorder="1" applyAlignment="1">
      <x:alignment vertical="top" wrapText="1"/>
    </x:xf>
    <x:xf numFmtId="202" fontId="4" fillId="0" borderId="0" xfId="0" applyNumberFormat="1" applyFont="1" applyFill="1" applyBorder="1" applyAlignment="1">
      <x:alignment vertical="top" wrapText="1"/>
    </x:xf>
    <x:xf numFmtId="201" fontId="4" fillId="0" borderId="4" xfId="0" applyNumberFormat="1" applyFont="1" applyFill="1" applyBorder="1" applyAlignment="1">
      <x:alignment vertical="top" wrapText="1"/>
    </x:xf>
    <x:xf numFmtId="202" fontId="4" fillId="0" borderId="4" xfId="0" applyNumberFormat="1" applyFont="1" applyFill="1" applyBorder="1" applyAlignment="1">
      <x:alignment vertical="top" wrapText="1"/>
    </x:xf>
    <x:xf numFmtId="201" fontId="4" fillId="0" borderId="5" xfId="0" applyNumberFormat="1" applyFont="1" applyFill="1" applyBorder="1" applyAlignment="1">
      <x:alignment vertical="top" wrapText="1"/>
    </x:xf>
    <x:xf numFmtId="202" fontId="4" fillId="0" borderId="5" xfId="0" applyNumberFormat="1" applyFont="1" applyFill="1" applyBorder="1" applyAlignment="1">
      <x:alignment vertical="top" wrapText="1"/>
    </x:xf>
    <x:xf numFmtId="0" fontId="5" fillId="6" borderId="4" xfId="0" applyNumberFormat="1" applyFont="1" applyFill="1" applyBorder="1" applyAlignment="1">
      <x:alignment vertical="top" wrapText="1"/>
    </x:xf>
    <x:xf numFmtId="0" fontId="5" fillId="6" borderId="5" xfId="0" applyNumberFormat="1" applyFont="1" applyFill="1" applyBorder="1" applyAlignment="1">
      <x:alignment vertical="top" wrapText="1"/>
    </x:xf>
  </x:cellXfs>
  <x:cellStyles count="1">
    <x:cellStyle name="Normal" xfId="0"/>
  </x:cellStyles>
  <x:dxfs count="44"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C65911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C6E0B4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C65911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C6E0B4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C65911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C6E0B4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C65911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C6E0B4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C65911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C6E0B4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C65911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C6E0B4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C65911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C6E0B4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C65911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C6E0B4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C65911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C6E0B4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C65911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C6E0B4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C65911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C6E0B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1e3dd8dc5f442d" /><Relationship Type="http://schemas.openxmlformats.org/officeDocument/2006/relationships/theme" Target="/xl/theme/theme1.xml" Id="Rcd5ff91491404a9b" /><Relationship Type="http://schemas.openxmlformats.org/officeDocument/2006/relationships/sharedStrings" Target="/xl/sharedStrings.xml" Id="Ra3c10656fa82405c" /><Relationship Type="http://schemas.openxmlformats.org/officeDocument/2006/relationships/worksheet" Target="/xl/worksheets/sheet1.xml" Id="R38326ce5acd541c1" /><Relationship Type="http://schemas.openxmlformats.org/officeDocument/2006/relationships/worksheet" Target="/xl/worksheets/sheet2.xml" Id="R6ce8fbe8b572419b" /><Relationship Type="http://schemas.openxmlformats.org/officeDocument/2006/relationships/worksheet" Target="/xl/worksheets/sheet3.xml" Id="Rc9261584fd0a4947" /><Relationship Type="http://schemas.openxmlformats.org/officeDocument/2006/relationships/worksheet" Target="/xl/worksheets/sheet4.xml" Id="R875da12fb7714bdb" /><Relationship Type="http://schemas.openxmlformats.org/officeDocument/2006/relationships/worksheet" Target="/xl/worksheets/sheet5.xml" Id="R301d730c659c4325" /><Relationship Type="http://schemas.openxmlformats.org/officeDocument/2006/relationships/worksheet" Target="/xl/worksheets/sheet6.xml" Id="Red6b228fac42455e" /><Relationship Type="http://schemas.openxmlformats.org/officeDocument/2006/relationships/worksheet" Target="/xl/worksheets/sheet7.xml" Id="Rce1add5aaf584e59" /><Relationship Type="http://schemas.openxmlformats.org/officeDocument/2006/relationships/worksheet" Target="/xl/worksheets/sheet8.xml" Id="Rd40c31135c75408f" /><Relationship Type="http://schemas.openxmlformats.org/officeDocument/2006/relationships/worksheet" Target="/xl/worksheets/sheet9.xml" Id="R4f23ab641e114cf9" /><Relationship Type="http://schemas.openxmlformats.org/officeDocument/2006/relationships/worksheet" Target="/xl/worksheets/sheet10.xml" Id="Rc61145ecbb894f35" /><Relationship Type="http://schemas.openxmlformats.org/officeDocument/2006/relationships/worksheet" Target="/xl/worksheets/sheet11.xml" Id="Rff7a2358745d48ca" /><Relationship Type="http://schemas.openxmlformats.org/officeDocument/2006/relationships/worksheet" Target="/xl/worksheets/sheet12.xml" Id="R9a7f73d331dc4ed8" /><Relationship Type="http://schemas.openxmlformats.org/officeDocument/2006/relationships/worksheet" Target="/xl/worksheets/sheet13.xml" Id="R61ff4d50f3ef4b6e" /><Relationship Type="http://schemas.openxmlformats.org/officeDocument/2006/relationships/worksheet" Target="/xl/worksheets/sheet14.xml" Id="R8bb422dbec4c422e" /><Relationship Type="http://schemas.openxmlformats.org/officeDocument/2006/relationships/worksheet" Target="/xl/worksheets/sheet15.xml" Id="R6f53ea2ef6d94a8e" /></Relationships>
</file>

<file path=xl/tables/table1.xml><?xml version="1.0" encoding="utf-8"?>
<x:table xmlns:x="http://schemas.openxmlformats.org/spreadsheetml/2006/main" id="1" name="ControlQuestionGuide" displayName="ControlQuestionGuide" ref="A4:L16" headerRowCount="1" totalsRowCount="0" totalsRowShown="0">
  <x:tableColumns count="12">
    <x:tableColumn id="1" name="Q ID"/>
    <x:tableColumn id="2" name="Domain"/>
    <x:tableColumn id="3" name="Question to ask"/>
    <x:tableColumn id="4" name="Suggested probes"/>
    <x:tableColumn id="5" name="Control being measured"/>
    <x:tableColumn id="6" name="Practice = Yes when…"/>
    <x:tableColumn id="7" name="Documented = Yes when…"/>
    <x:tableColumn id="8" name="Implemented = Yes when…"/>
    <x:tableColumn id="9" name="Reviewed = Yes when…"/>
    <x:tableColumn id="10" name="Evidence examples"/>
    <x:tableColumn id="11" name="Scored?"/>
    <x:tableColumn id="12" name="Framework alignmen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latResearchData" displayName="FlatResearchData" ref="A4:J124" headerRowCount="1" totalsRowCount="0" totalsRowShown="0">
  <x:tableColumns count="10">
    <x:tableColumn id="1" name="SME ID"/>
    <x:tableColumn id="2" name="Question ID"/>
    <x:tableColumn id="3" name="Domain"/>
    <x:tableColumn id="4" name="Score"/>
    <x:tableColumn id="5" name="Score included?"/>
    <x:tableColumn id="6" name="Evidence basis"/>
    <x:tableColumn id="7" name="Confidence"/>
    <x:tableColumn id="8" name="Response/evidence notes"/>
    <x:tableColumn id="9" name="Barrier/support notes"/>
    <x:tableColumn id="10" name="Adoption stag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ourceReferences" displayName="SourceReferences" ref="A3:D9" headerRowCount="1" totalsRowCount="0" totalsRowShown="0">
  <x:tableColumns count="4">
    <x:tableColumn id="1" name="Source"/>
    <x:tableColumn id="2" name="APA 7 reference"/>
    <x:tableColumn id="3" name="URL"/>
    <x:tableColumn id="4" name="Used fo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200bf9355a449e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2.xml" Id="Rb232cc6872194041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3.xml" Id="R60edf52649654f4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70" hidden="0" customWidth="1"/>
    <x:col min="3" max="3" width="58" hidden="0" customWidth="1"/>
    <x:col min="4" max="4" width="20" hidden="0" customWidth="1"/>
    <x:col min="5" max="5" width="18" hidden="0" customWidth="1"/>
    <x:col min="6" max="6" width="60" hidden="0" customWidth="1"/>
  </x:cols>
  <x:sheetData>
    <x:row r="1" ht="36" customHeight="1">
      <x:c r="A1" s="3" t="str">
        <x:v>How to use the SME AI governance interview and scoring workbook</x:v>
      </x:c>
      <x:c r="B1" s="3" t="str">
        <x:v>How to use the SME AI governance interview and scoring workbook</x:v>
      </x:c>
      <x:c r="C1" s="3" t="str">
        <x:v>How to use the SME AI governance interview and scoring workbook</x:v>
      </x:c>
      <x:c r="D1" s="3" t="str">
        <x:v>How to use the SME AI governance interview and scoring workbook</x:v>
      </x:c>
      <x:c r="E1" s="3" t="str">
        <x:v>How to use the SME AI governance interview and scoring workbook</x:v>
      </x:c>
      <x:c r="F1" s="3" t="str">
        <x:v>How to use the SME AI governance interview and scoring workbook</x:v>
      </x:c>
      <x:c r="G1" s="3" t="str">
        <x:v>How to use the SME AI governance interview and scoring workbook</x:v>
      </x:c>
      <x:c r="H1" s="3" t="str">
        <x:v>How to use the SME AI governance interview and scoring workbook</x:v>
      </x:c>
    </x:row>
    <x:row r="3" ht="32" customHeight="1">
      <x:c r="A3" s="12" t="str">
        <x:v>Step</x:v>
      </x:c>
      <x:c r="B3" s="13" t="str">
        <x:v>What you do</x:v>
      </x:c>
      <x:c r="C3" s="14" t="str">
        <x:v>Why it matters</x:v>
      </x:c>
    </x:row>
    <x:row r="4" ht="52" customHeight="1">
      <x:c r="A4" s="26" t="str">
        <x:v>1. Prepare</x:v>
      </x:c>
      <x:c r="B4" s="27" t="str">
        <x:v>Open Question Guide. Review the question, control, four measurement criteria, and expected evidence.</x:v>
      </x:c>
      <x:c r="C4" s="28" t="str">
        <x:v>You must understand what the question measures before interviewing the SME.</x:v>
      </x:c>
    </x:row>
    <x:row r="5" ht="52" customHeight="1">
      <x:c r="A5" s="29" t="str">
        <x:v>2. Interview</x:v>
      </x:c>
      <x:c r="B5" s="30" t="str">
        <x:v>Open the SME's tab. Ask the conversational question and use the suggested probes. Record the answer in Response/evidence notes.</x:v>
      </x:c>
      <x:c r="C5" s="31" t="str">
        <x:v>Different SMEs may answer differently; the narrative is evidence, not the numeric score.</x:v>
      </x:c>
    </x:row>
    <x:row r="6" ht="52" customHeight="1">
      <x:c r="A6" s="29" t="str">
        <x:v>3. Code evidence</x:v>
      </x:c>
      <x:c r="B6" s="30" t="str">
        <x:v>After listening, select Yes, No, or Unknown for Practice, Documented, Implemented, and Reviewed.</x:v>
      </x:c>
      <x:c r="C6" s="31" t="str">
        <x:v>The same four checks are applied to every SME, making scoring more consistent.</x:v>
      </x:c>
    </x:row>
    <x:row r="7" ht="52" customHeight="1">
      <x:c r="A7" s="29" t="str">
        <x:v>4. Record basis</x:v>
      </x:c>
      <x:c r="B7" s="30" t="str">
        <x:v>Select the strongest evidence basis and your confidence. Do not request or store confidential documents in this workbook.</x:v>
      </x:c>
      <x:c r="C7" s="31" t="str">
        <x:v>A score based only on a statement is less certain than one supported by a concrete example or observed evidence.</x:v>
      </x:c>
    </x:row>
    <x:row r="8" ht="52" customHeight="1">
      <x:c r="A8" s="29" t="str">
        <x:v>5. Review score</x:v>
      </x:c>
      <x:c r="B8" s="30" t="str">
        <x:v>The workbook calculates the maturity score automatically. If a required check is blank or Unknown, the result shows Incomplete or Needs review.</x:v>
      </x:c>
      <x:c r="C8" s="31" t="str">
        <x:v>Missing information is not silently treated as either a zero or a positive control.</x:v>
      </x:c>
    </x:row>
    <x:row r="9" ht="52" customHeight="1">
      <x:c r="A9" s="29" t="str">
        <x:v>6. Analyze</x:v>
      </x:c>
      <x:c r="B9" s="30" t="str">
        <x:v>Use Results for SME-level and domain-level patterns. Use Q12 responses to summarize barriers and requested support.</x:v>
      </x:c>
      <x:c r="C9" s="31" t="str">
        <x:v>This is a pilot snapshot, not an audit, certification, ranking, or estimate of all Singapore SMEs.</x:v>
      </x:c>
    </x:row>
    <x:row r="11" ht="36" customHeight="1">
      <x:c r="A11" s="12" t="str">
        <x:v>Practice exists?</x:v>
      </x:c>
      <x:c r="B11" s="13" t="str">
        <x:v>Documented?</x:v>
      </x:c>
      <x:c r="C11" s="13" t="str">
        <x:v>Implemented?</x:v>
      </x:c>
      <x:c r="D11" s="13" t="str">
        <x:v>Reviewed?</x:v>
      </x:c>
      <x:c r="E11" s="13" t="str">
        <x:v>Automatic score</x:v>
      </x:c>
      <x:c r="F11" s="14" t="str">
        <x:v>Meaning</x:v>
      </x:c>
    </x:row>
    <x:row r="12" ht="40" customHeight="1">
      <x:c r="A12" s="27" t="str">
        <x:v>No</x:v>
      </x:c>
      <x:c r="B12" s="27" t="str">
        <x:v>Any</x:v>
      </x:c>
      <x:c r="C12" s="27" t="str">
        <x:v>Any</x:v>
      </x:c>
      <x:c r="D12" s="27" t="str">
        <x:v>Any</x:v>
      </x:c>
      <x:c r="E12" s="37" t="n">
        <x:v>0</x:v>
      </x:c>
      <x:c r="F12" s="28" t="str">
        <x:v>The practice is absent or has not been considered.</x:v>
      </x:c>
    </x:row>
    <x:row r="13" ht="40" customHeight="1">
      <x:c r="A13" s="30" t="str">
        <x:v>Yes</x:v>
      </x:c>
      <x:c r="B13" s="30" t="str">
        <x:v>No/Unknown</x:v>
      </x:c>
      <x:c r="C13" s="30" t="str">
        <x:v>No/Unknown</x:v>
      </x:c>
      <x:c r="D13" s="30" t="str">
        <x:v>No/Unknown</x:v>
      </x:c>
      <x:c r="E13" s="38" t="n">
        <x:v>1</x:v>
      </x:c>
      <x:c r="F13" s="31" t="str">
        <x:v>A practice exists, but it is informal, ad hoc, or dependent on individuals.</x:v>
      </x:c>
    </x:row>
    <x:row r="14" ht="40" customHeight="1">
      <x:c r="A14" s="30" t="str">
        <x:v>Yes</x:v>
      </x:c>
      <x:c r="B14" s="30" t="str">
        <x:v>Yes</x:v>
      </x:c>
      <x:c r="C14" s="30" t="str">
        <x:v>Yes</x:v>
      </x:c>
      <x:c r="D14" s="30" t="str">
        <x:v>No</x:v>
      </x:c>
      <x:c r="E14" s="38" t="n">
        <x:v>2</x:v>
      </x:c>
      <x:c r="F14" s="31" t="str">
        <x:v>The practice is documented and operating, but it is not routinely monitored or reviewed.</x:v>
      </x:c>
    </x:row>
    <x:row r="15" ht="40" customHeight="1">
      <x:c r="A15" s="30" t="str">
        <x:v>Yes</x:v>
      </x:c>
      <x:c r="B15" s="30" t="str">
        <x:v>Yes</x:v>
      </x:c>
      <x:c r="C15" s="30" t="str">
        <x:v>Yes</x:v>
      </x:c>
      <x:c r="D15" s="30" t="str">
        <x:v>Yes</x:v>
      </x:c>
      <x:c r="E15" s="38" t="n">
        <x:v>3</x:v>
      </x:c>
      <x:c r="F15" s="31" t="str">
        <x:v>The practice is documented, implemented, monitored, and periodically reviewed.</x:v>
      </x:c>
    </x:row>
    <x:row r="17" ht="44" customHeight="1">
      <x:c r="A17" s="41" t="str">
        <x:v>Important: You do not read the four measurement checks to the SME as a checklist. Ask the open question naturally, probe for examples, and then code the evidence consistently after the answer.</x:v>
      </x:c>
      <x:c r="B17" s="41" t="str">
        <x:v>Important: You do not read the four measurement checks to the SME as a checklist. Ask the open question naturally, probe for examples, and then code the evidence consistently after the answer.</x:v>
      </x:c>
      <x:c r="C17" s="41" t="str">
        <x:v>Important: You do not read the four measurement checks to the SME as a checklist. Ask the open question naturally, probe for examples, and then code the evidence consistently after the answer.</x:v>
      </x:c>
      <x:c r="D17" s="41" t="str">
        <x:v>Important: You do not read the four measurement checks to the SME as a checklist. Ask the open question naturally, probe for examples, and then code the evidence consistently after the answer.</x:v>
      </x:c>
      <x:c r="E17" s="41" t="str">
        <x:v>Important: You do not read the four measurement checks to the SME as a checklist. Ask the open question naturally, probe for examples, and then code the evidence consistently after the answer.</x:v>
      </x:c>
      <x:c r="F17" s="41" t="str">
        <x:v>Important: You do not read the four measurement checks to the SME as a checklist. Ask the open question naturally, probe for examples, and then code the evidence consistently after the answer.</x:v>
      </x:c>
    </x:row>
  </x:sheetData>
  <x:mergeCells>
    <x:mergeCell ref="A1:H1"/>
    <x:mergeCell ref="A17:F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7" hidden="0" customWidth="1"/>
    <x:col min="3" max="3" width="47" hidden="0" customWidth="1"/>
    <x:col min="4" max="4" width="48" hidden="0" customWidth="1"/>
    <x:col min="5" max="5" width="48" hidden="0" customWidth="1"/>
    <x:col min="6" max="6" width="42" hidden="0" customWidth="1"/>
    <x:col min="7" max="7" width="42" hidden="0" customWidth="1"/>
    <x:col min="8" max="8" width="42" hidden="0" customWidth="1"/>
    <x:col min="9" max="9" width="42" hidden="0" customWidth="1"/>
    <x:col min="10" max="10" width="42" hidden="0" customWidth="1"/>
    <x:col min="11" max="11" width="10" hidden="0" customWidth="1"/>
    <x:col min="12" max="12" width="44" hidden="0" customWidth="1"/>
  </x:cols>
  <x:sheetData>
    <x:row r="1" ht="36" customHeight="1">
      <x:c r="A1" s="3" t="str">
        <x:v>Question guide: what to ask, what control is measured, and how to code evidence</x:v>
      </x:c>
      <x:c r="B1" s="3" t="str">
        <x:v>Question guide: what to ask, what control is measured, and how to code evidence</x:v>
      </x:c>
      <x:c r="C1" s="3" t="str">
        <x:v>Question guide: what to ask, what control is measured, and how to code evidence</x:v>
      </x:c>
      <x:c r="D1" s="3" t="str">
        <x:v>Question guide: what to ask, what control is measured, and how to code evidence</x:v>
      </x:c>
      <x:c r="E1" s="3" t="str">
        <x:v>Question guide: what to ask, what control is measured, and how to code evidence</x:v>
      </x:c>
      <x:c r="F1" s="3" t="str">
        <x:v>Question guide: what to ask, what control is measured, and how to code evidence</x:v>
      </x:c>
      <x:c r="G1" s="3" t="str">
        <x:v>Question guide: what to ask, what control is measured, and how to code evidence</x:v>
      </x:c>
      <x:c r="H1" s="3" t="str">
        <x:v>Question guide: what to ask, what control is measured, and how to code evidence</x:v>
      </x:c>
      <x:c r="I1" s="3" t="str">
        <x:v>Question guide: what to ask, what control is measured, and how to code evidence</x:v>
      </x:c>
      <x:c r="J1" s="3" t="str">
        <x:v>Question guide: what to ask, what control is measured, and how to code evidence</x:v>
      </x:c>
      <x:c r="K1" s="3" t="str">
        <x:v>Question guide: what to ask, what control is measured, and how to code evidence</x:v>
      </x:c>
      <x:c r="L1" s="3" t="str">
        <x:v>Question guide: what to ask, what control is measured, and how to code evidence</x:v>
      </x:c>
    </x:row>
    <x:row r="2" ht="36" customHeight="1">
      <x:c r="A2" s="43" t="str">
        <x:v>The four criteria are cumulative. Score 2 requires both Documented and Implemented = Yes. Score 3 additionally requires Reviewed = Yes. Use Unknown when the interview does not establish the answer.</x:v>
      </x:c>
      <x:c r="B2" s="43" t="str">
        <x:v>The four criteria are cumulative. Score 2 requires both Documented and Implemented = Yes. Score 3 additionally requires Reviewed = Yes. Use Unknown when the interview does not establish the answer.</x:v>
      </x:c>
      <x:c r="C2" s="43" t="str">
        <x:v>The four criteria are cumulative. Score 2 requires both Documented and Implemented = Yes. Score 3 additionally requires Reviewed = Yes. Use Unknown when the interview does not establish the answer.</x:v>
      </x:c>
      <x:c r="D2" s="43" t="str">
        <x:v>The four criteria are cumulative. Score 2 requires both Documented and Implemented = Yes. Score 3 additionally requires Reviewed = Yes. Use Unknown when the interview does not establish the answer.</x:v>
      </x:c>
      <x:c r="E2" s="43" t="str">
        <x:v>The four criteria are cumulative. Score 2 requires both Documented and Implemented = Yes. Score 3 additionally requires Reviewed = Yes. Use Unknown when the interview does not establish the answer.</x:v>
      </x:c>
      <x:c r="F2" s="43" t="str">
        <x:v>The four criteria are cumulative. Score 2 requires both Documented and Implemented = Yes. Score 3 additionally requires Reviewed = Yes. Use Unknown when the interview does not establish the answer.</x:v>
      </x:c>
      <x:c r="G2" s="43" t="str">
        <x:v>The four criteria are cumulative. Score 2 requires both Documented and Implemented = Yes. Score 3 additionally requires Reviewed = Yes. Use Unknown when the interview does not establish the answer.</x:v>
      </x:c>
      <x:c r="H2" s="43" t="str">
        <x:v>The four criteria are cumulative. Score 2 requires both Documented and Implemented = Yes. Score 3 additionally requires Reviewed = Yes. Use Unknown when the interview does not establish the answer.</x:v>
      </x:c>
      <x:c r="I2" s="43" t="str">
        <x:v>The four criteria are cumulative. Score 2 requires both Documented and Implemented = Yes. Score 3 additionally requires Reviewed = Yes. Use Unknown when the interview does not establish the answer.</x:v>
      </x:c>
      <x:c r="J2" s="43" t="str">
        <x:v>The four criteria are cumulative. Score 2 requires both Documented and Implemented = Yes. Score 3 additionally requires Reviewed = Yes. Use Unknown when the interview does not establish the answer.</x:v>
      </x:c>
      <x:c r="K2" s="43" t="str">
        <x:v>The four criteria are cumulative. Score 2 requires both Documented and Implemented = Yes. Score 3 additionally requires Reviewed = Yes. Use Unknown when the interview does not establish the answer.</x:v>
      </x:c>
      <x:c r="L2" s="43" t="str">
        <x:v>The four criteria are cumulative. Score 2 requires both Documented and Implemented = Yes. Score 3 additionally requires Reviewed = Yes. Use Unknown when the interview does not establish the answer.</x:v>
      </x:c>
    </x:row>
    <x:row r="4" ht="42" customHeight="1">
      <x:c r="A4" s="12" t="str">
        <x:v>Q ID</x:v>
      </x:c>
      <x:c r="B4" s="13" t="str">
        <x:v>Domain</x:v>
      </x:c>
      <x:c r="C4" s="13" t="str">
        <x:v>Question to ask</x:v>
      </x:c>
      <x:c r="D4" s="13" t="str">
        <x:v>Suggested probes</x:v>
      </x:c>
      <x:c r="E4" s="13" t="str">
        <x:v>Control being measured</x:v>
      </x:c>
      <x:c r="F4" s="13" t="str">
        <x:v>Practice = Yes when…</x:v>
      </x:c>
      <x:c r="G4" s="13" t="str">
        <x:v>Documented = Yes when…</x:v>
      </x:c>
      <x:c r="H4" s="13" t="str">
        <x:v>Implemented = Yes when…</x:v>
      </x:c>
      <x:c r="I4" s="13" t="str">
        <x:v>Reviewed = Yes when…</x:v>
      </x:c>
      <x:c r="J4" s="13" t="str">
        <x:v>Evidence examples</x:v>
      </x:c>
      <x:c r="K4" s="13" t="str">
        <x:v>Scored?</x:v>
      </x:c>
      <x:c r="L4" s="14" t="str">
        <x:v>Framework alignment</x:v>
      </x:c>
    </x:row>
    <x:row r="5" ht="115" customHeight="1">
      <x:c r="A5" s="28" t="str">
        <x:v>Q01</x:v>
      </x:c>
      <x:c r="B5" s="28" t="str">
        <x:v>AI use context</x:v>
      </x:c>
      <x:c r="C5" s="28" t="str">
        <x:v>What generative AI tools or use cases is your company exploring or using?</x:v>
      </x:c>
      <x:c r="D5" s="28" t="str">
        <x:v>Who uses them? For what process? What information is involved? When was the list last checked?</x:v>
      </x:c>
      <x:c r="E5" s="28" t="str">
        <x:v>AI use cases are identified, recorded, assigned an owner, and kept current.</x:v>
      </x:c>
      <x:c r="F5" s="44" t="str">
        <x:v>Leaders can identify the AI tools and business uses currently being explored or used.</x:v>
      </x:c>
      <x:c r="G5" s="27" t="str">
        <x:v>The tools/use cases, purposes, owners, users, and data categories are recorded.</x:v>
      </x:c>
      <x:c r="H5" s="27" t="str">
        <x:v>The inventory covers active use cases and is used when approving or managing AI.</x:v>
      </x:c>
      <x:c r="I5" s="46" t="str">
        <x:v>The inventory is updated on a schedule or when tools, purposes, data, or owners change.</x:v>
      </x:c>
      <x:c r="J5" s="28" t="str">
        <x:v>AI inventory, approved-tool list, use-case register, named owner</x:v>
      </x:c>
      <x:c r="K5" s="28" t="str">
        <x:v>Yes</x:v>
      </x:c>
      <x:c r="L5" s="28" t="str">
        <x:v>NIST AI RMF MAP 1; IMDA/AIVF accountability</x:v>
      </x:c>
    </x:row>
    <x:row r="6" ht="115" customHeight="1">
      <x:c r="A6" s="31" t="str">
        <x:v>Q02</x:v>
      </x:c>
      <x:c r="B6" s="31" t="str">
        <x:v>Accountability and governance</x:v>
      </x:c>
      <x:c r="C6" s="31" t="str">
        <x:v>Who is responsible for approving and overseeing AI use?</x:v>
      </x:c>
      <x:c r="D6" s="31" t="str">
        <x:v>Who can approve, stop, or change a use case? When was this authority last used?</x:v>
      </x:c>
      <x:c r="E6" s="31" t="str">
        <x:v>AI decision rights, ownership, approval, and escalation responsibilities are assigned.</x:v>
      </x:c>
      <x:c r="F6" s="45" t="str">
        <x:v>A person or group takes responsibility for AI approval and oversight.</x:v>
      </x:c>
      <x:c r="G6" s="30" t="str">
        <x:v>Roles, authority, approval steps, and escalation paths are recorded.</x:v>
      </x:c>
      <x:c r="H6" s="30" t="str">
        <x:v>The assigned process is used for actual AI decisions and exceptions.</x:v>
      </x:c>
      <x:c r="I6" s="47" t="str">
        <x:v>Governance decisions and responsibilities are periodically reviewed and updated.</x:v>
      </x:c>
      <x:c r="J6" s="31" t="str">
        <x:v>Role assignment, approval record, committee terms, decision log</x:v>
      </x:c>
      <x:c r="K6" s="31" t="str">
        <x:v>Yes</x:v>
      </x:c>
      <x:c r="L6" s="31" t="str">
        <x:v>NIST AI RMF GOVERN 1–2; ISO/IEC 42001 5.3</x:v>
      </x:c>
    </x:row>
    <x:row r="7" ht="115" customHeight="1">
      <x:c r="A7" s="31" t="str">
        <x:v>Q03</x:v>
      </x:c>
      <x:c r="B7" s="31" t="str">
        <x:v>Accountability and governance</x:v>
      </x:c>
      <x:c r="C7" s="31" t="str">
        <x:v>Before an AI use case is approved, what risks does the company consider?</x:v>
      </x:c>
      <x:c r="D7" s="31" t="str">
        <x:v>Describe the most recent review. Were sensitive data, customer impact, autonomy, accuracy, and consequences considered?</x:v>
      </x:c>
      <x:c r="E7" s="31" t="str">
        <x:v>AI use cases undergo a risk review before approval and when material changes occur.</x:v>
      </x:c>
      <x:c r="F7" s="45" t="str">
        <x:v>Some AI-related risks are considered before the use case proceeds.</x:v>
      </x:c>
      <x:c r="G7" s="30" t="str">
        <x:v>Risk criteria, classification, approval, and acceptance requirements are recorded.</x:v>
      </x:c>
      <x:c r="H7" s="30" t="str">
        <x:v>The risk process is applied to real use cases and produces a decision or required safeguards.</x:v>
      </x:c>
      <x:c r="I7" s="47" t="str">
        <x:v>Risks are reassessed after material changes, incidents, or at planned intervals.</x:v>
      </x:c>
      <x:c r="J7" s="31" t="str">
        <x:v>Risk assessment, classification, approval criteria, risk acceptance record</x:v>
      </x:c>
      <x:c r="K7" s="31" t="str">
        <x:v>Yes</x:v>
      </x:c>
      <x:c r="L7" s="31" t="str">
        <x:v>NIST AI RMF MAP 1–3; NIST GenAI Profile; ISO/IEC 42001 6.1</x:v>
      </x:c>
    </x:row>
    <x:row r="8" ht="115" customHeight="1">
      <x:c r="A8" s="31" t="str">
        <x:v>Q04</x:v>
      </x:c>
      <x:c r="B8" s="31" t="str">
        <x:v>Data protection</x:v>
      </x:c>
      <x:c r="C8" s="31" t="str">
        <x:v>What information may or may not be entered into generative AI tools?</x:v>
      </x:c>
      <x:c r="D8" s="31" t="str">
        <x:v>How do employees know? Are customer, employee, financial, confidential, or regulated data addressed?</x:v>
      </x:c>
      <x:c r="E8" s="31" t="str">
        <x:v>Rules govern the data employees may enter into AI tools and how AI-generated information may be handled.</x:v>
      </x:c>
      <x:c r="F8" s="45" t="str">
        <x:v>Employees receive some direction about information they should not enter into AI tools.</x:v>
      </x:c>
      <x:c r="G8" s="30" t="str">
        <x:v>Permitted and prohibited data, approved tools, and handling requirements are written down.</x:v>
      </x:c>
      <x:c r="H8" s="30" t="str">
        <x:v>The rules are communicated and followed through training, approved platforms, or technical controls.</x:v>
      </x:c>
      <x:c r="I8" s="47" t="str">
        <x:v>Compliance, exceptions, and the rules themselves are periodically checked and updated.</x:v>
      </x:c>
      <x:c r="J8" s="31" t="str">
        <x:v>Data classification, acceptable-use rule, training, DLP, approved prompt guidance</x:v>
      </x:c>
      <x:c r="K8" s="31" t="str">
        <x:v>Yes</x:v>
      </x:c>
      <x:c r="L8" s="31" t="str">
        <x:v>NIST AI RMF MAP 2; OWASP sensitive information disclosure; IMDA/AIVF data</x:v>
      </x:c>
    </x:row>
    <x:row r="9" ht="115" customHeight="1">
      <x:c r="A9" s="31" t="str">
        <x:v>Q05</x:v>
      </x:c>
      <x:c r="B9" s="31" t="str">
        <x:v>Third-party management</x:v>
      </x:c>
      <x:c r="C9" s="31" t="str">
        <x:v>How do you decide whether an AI vendor or tool is trustworthy enough to use?</x:v>
      </x:c>
      <x:c r="D9" s="31" t="str">
        <x:v>Do you examine retention, model training, security, subcontractors, location, incident terms, and contracts?</x:v>
      </x:c>
      <x:c r="E9" s="31" t="str">
        <x:v>AI vendors receive risk-based security, privacy, data-use, and contractual review before and during use.</x:v>
      </x:c>
      <x:c r="F9" s="45" t="str">
        <x:v>The SME considers vendor security, privacy, or data-use risk before adoption.</x:v>
      </x:c>
      <x:c r="G9" s="30" t="str">
        <x:v>Required review criteria and approval expectations are recorded.</x:v>
      </x:c>
      <x:c r="H9" s="30" t="str">
        <x:v>The process is applied to selected vendors and produces evidence, conditions, or contract protections.</x:v>
      </x:c>
      <x:c r="I9" s="47" t="str">
        <x:v>Important vendors are reassessed when terms, services, risks, or use cases change.</x:v>
      </x:c>
      <x:c r="J9" s="31" t="str">
        <x:v>Vendor checklist, security documents, privacy terms, contract clauses, reassessment</x:v>
      </x:c>
      <x:c r="K9" s="31" t="str">
        <x:v>Yes</x:v>
      </x:c>
      <x:c r="L9" s="31" t="str">
        <x:v>NIST AI RMF GOVERN 6; NIST CSF GV.SC; IMDA/AIVF accountability</x:v>
      </x:c>
    </x:row>
    <x:row r="10" ht="115" customHeight="1">
      <x:c r="A10" s="31" t="str">
        <x:v>Q06</x:v>
      </x:c>
      <x:c r="B10" s="31" t="str">
        <x:v>Access and integration security</x:v>
      </x:c>
      <x:c r="C10" s="31" t="str">
        <x:v>How is access to AI tools and connected company systems managed?</x:v>
      </x:c>
      <x:c r="D10" s="31" t="str">
        <x:v>Are accounts shared? Is MFA used? What data can the tool retrieve? What actions can it take? What happens when someone leaves?</x:v>
      </x:c>
      <x:c r="E10" s="31" t="str">
        <x:v>AI access and integrations use individual identity, least privilege, controlled permissions, and timely removal.</x:v>
      </x:c>
      <x:c r="F10" s="45" t="str">
        <x:v>Access is intentionally granted to specific people rather than being completely unmanaged.</x:v>
      </x:c>
      <x:c r="G10" s="30" t="str">
        <x:v>Account, permission, MFA, integration, and joiner-mover-leaver requirements are recorded.</x:v>
      </x:c>
      <x:c r="H10" s="30" t="str">
        <x:v>The requirements are applied to users and connected systems, with evidence of access removal or restriction.</x:v>
      </x:c>
      <x:c r="I10" s="47" t="str">
        <x:v>Permissions and integrations are periodically reviewed and excessive access is corrected.</x:v>
      </x:c>
      <x:c r="J10" s="31" t="str">
        <x:v>Access list, MFA, role design, connector permissions, access review, offboarding</x:v>
      </x:c>
      <x:c r="K10" s="31" t="str">
        <x:v>Yes</x:v>
      </x:c>
      <x:c r="L10" s="31" t="str">
        <x:v>NIST CSF PR.AA; OWASP excessive agency and improper output handling</x:v>
      </x:c>
    </x:row>
    <x:row r="11" ht="115" customHeight="1">
      <x:c r="A11" s="31" t="str">
        <x:v>Q07</x:v>
      </x:c>
      <x:c r="B11" s="31" t="str">
        <x:v>Human oversight</x:v>
      </x:c>
      <x:c r="C11" s="31" t="str">
        <x:v>Which AI-generated outputs or actions require human review?</x:v>
      </x:c>
      <x:c r="D11" s="31" t="str">
        <x:v>Who reviews them? What are they checking? What happens when confidence is low or a customer may be affected?</x:v>
      </x:c>
      <x:c r="E11" s="31" t="str">
        <x:v>Risk-based human review, decision authority, override, and escalation are defined for consequential AI outputs or actions.</x:v>
      </x:c>
      <x:c r="F11" s="45" t="str">
        <x:v>People review at least some AI outputs or actions before they are relied upon.</x:v>
      </x:c>
      <x:c r="G11" s="30" t="str">
        <x:v>The outputs requiring review, reviewer responsibility, criteria, and escalation path are recorded.</x:v>
      </x:c>
      <x:c r="H11" s="30" t="str">
        <x:v>Human review and escalation occur in the actual workflow for identified higher-risk uses.</x:v>
      </x:c>
      <x:c r="I11" s="47" t="str">
        <x:v>Review effectiveness, exceptions, and overrides are periodically examined and improved.</x:v>
      </x:c>
      <x:c r="J11" s="31" t="str">
        <x:v>Review checklist, approval step, escalation path, decision or exception log</x:v>
      </x:c>
      <x:c r="K11" s="31" t="str">
        <x:v>Yes</x:v>
      </x:c>
      <x:c r="L11" s="31" t="str">
        <x:v>NIST AI RMF MANAGE 2; IMDA/AIVF accountability and human involvement</x:v>
      </x:c>
    </x:row>
    <x:row r="12" ht="115" customHeight="1">
      <x:c r="A12" s="31" t="str">
        <x:v>Q08</x:v>
      </x:c>
      <x:c r="B12" s="31" t="str">
        <x:v>Testing and assurance</x:v>
      </x:c>
      <x:c r="C12" s="31" t="str">
        <x:v>How do you determine whether an AI system or output is accurate and reliable enough for its intended use?</x:v>
      </x:c>
      <x:c r="D12" s="31" t="str">
        <x:v>What was tested before use? Which failures matter? What acceptance level is required? Is testing repeated after change?</x:v>
      </x:c>
      <x:c r="E12" s="31" t="str">
        <x:v>AI use cases are tested against documented fitness, safety, security, and reliability criteria before use and after material change.</x:v>
      </x:c>
      <x:c r="F12" s="45" t="str">
        <x:v>Users perform some checks before relying on the AI system or output.</x:v>
      </x:c>
      <x:c r="G12" s="30" t="str">
        <x:v>Test cases, expected outcomes, failure conditions, and acceptance criteria are recorded.</x:v>
      </x:c>
      <x:c r="H12" s="30" t="str">
        <x:v>Testing is performed for the intended use and results are compared with the criteria before approval.</x:v>
      </x:c>
      <x:c r="I12" s="47" t="str">
        <x:v>Testing is repeated after change and results, incidents, or trends are used to improve the use case.</x:v>
      </x:c>
      <x:c r="J12" s="31" t="str">
        <x:v>Test plan, sample results, acceptance criteria, red-team or user-acceptance record</x:v>
      </x:c>
      <x:c r="K12" s="31" t="str">
        <x:v>Yes</x:v>
      </x:c>
      <x:c r="L12" s="31" t="str">
        <x:v>NIST AI RMF MEASURE; NIST GenAI Profile; IMDA/AIVF testing and assurance</x:v>
      </x:c>
    </x:row>
    <x:row r="13" ht="115" customHeight="1">
      <x:c r="A13" s="31" t="str">
        <x:v>Q09</x:v>
      </x:c>
      <x:c r="B13" s="31" t="str">
        <x:v>Monitoring and change</x:v>
      </x:c>
      <x:c r="C13" s="31" t="str">
        <x:v>After an AI use case goes live, how do you know it continues to operate safely and as intended?</x:v>
      </x:c>
      <x:c r="D13" s="31" t="str">
        <x:v>What is logged? Who reviews errors, complaints, vendor changes, unusual behavior, or declining quality?</x:v>
      </x:c>
      <x:c r="E13" s="31" t="str">
        <x:v>Operational AI use is monitored using assigned metrics, logs, issues, thresholds, and change triggers.</x:v>
      </x:c>
      <x:c r="F13" s="45" t="str">
        <x:v>The SME notices and responds to at least some AI errors, complaints, or changes.</x:v>
      </x:c>
      <x:c r="G13" s="30" t="str">
        <x:v>Monitoring responsibilities, metrics, issues, thresholds, and change triggers are recorded.</x:v>
      </x:c>
      <x:c r="H13" s="30" t="str">
        <x:v>Logs, issues, or performance information are reviewed for operational use cases.</x:v>
      </x:c>
      <x:c r="I13" s="47" t="str">
        <x:v>Trends and material changes trigger reassessment and control improvements.</x:v>
      </x:c>
      <x:c r="J13" s="31" t="str">
        <x:v>Usage logs, issue log, metrics, complaints, vendor/model change review</x:v>
      </x:c>
      <x:c r="K13" s="31" t="str">
        <x:v>Yes</x:v>
      </x:c>
      <x:c r="L13" s="31" t="str">
        <x:v>NIST AI RMF MEASURE/MANAGE; ISO/IEC 42001 9.1</x:v>
      </x:c>
    </x:row>
    <x:row r="14" ht="115" customHeight="1">
      <x:c r="A14" s="31" t="str">
        <x:v>Q10</x:v>
      </x:c>
      <x:c r="B14" s="31" t="str">
        <x:v>Incident response</x:v>
      </x:c>
      <x:c r="C14" s="31" t="str">
        <x:v>What would happen if an AI tool exposed sensitive information, produced harmful content, or took an unintended action?</x:v>
      </x:c>
      <x:c r="D14" s="31" t="str">
        <x:v>Who is notified? Can use be suspended? Is the vendor contacted? Has an AI scenario been exercised?</x:v>
      </x:c>
      <x:c r="E14" s="31" t="str">
        <x:v>AI-related events can be identified, contained, escalated, reported, investigated, and used to improve controls.</x:v>
      </x:c>
      <x:c r="F14" s="45" t="str">
        <x:v>Staff know at least a general contact or action for reporting an AI-related problem.</x:v>
      </x:c>
      <x:c r="G14" s="30" t="str">
        <x:v>AI scenarios, responsibilities, notification, containment, and vendor escalation are included in response documentation.</x:v>
      </x:c>
      <x:c r="H14" s="30" t="str">
        <x:v>The process can be activated and responsible people can contain and escalate an actual or simulated event.</x:v>
      </x:c>
      <x:c r="I14" s="47" t="str">
        <x:v>AI scenarios are exercised or reviewed, and lessons are used to update controls and response plans.</x:v>
      </x:c>
      <x:c r="J14" s="31" t="str">
        <x:v>Incident plan, contact list, escalation record, exercise result, lessons learned</x:v>
      </x:c>
      <x:c r="K14" s="31" t="str">
        <x:v>Yes</x:v>
      </x:c>
      <x:c r="L14" s="31" t="str">
        <x:v>NIST CSF RESPOND; IMDA/AIVF incident reporting; ISO/IEC 42001 10.1</x:v>
      </x:c>
    </x:row>
    <x:row r="15" ht="115" customHeight="1">
      <x:c r="A15" s="31" t="str">
        <x:v>Q11</x:v>
      </x:c>
      <x:c r="B15" s="31" t="str">
        <x:v>People and policy</x:v>
      </x:c>
      <x:c r="C15" s="31" t="str">
        <x:v>What guidance or training have employees received about responsible and secure AI use?</x:v>
      </x:c>
      <x:c r="D15" s="31" t="str">
        <x:v>Is it required? Does it cover approved tools, data, verification, disclosure, and reporting? How is it updated?</x:v>
      </x:c>
      <x:c r="E15" s="31" t="str">
        <x:v>Employees receive role-relevant AI policy, guidance, and awareness that are maintained as risks and use cases change.</x:v>
      </x:c>
      <x:c r="F15" s="45" t="str">
        <x:v>Employees have received some AI-related instruction, reminder, or guidance.</x:v>
      </x:c>
      <x:c r="G15" s="30" t="str">
        <x:v>Acceptable-use expectations and role-relevant training requirements are recorded.</x:v>
      </x:c>
      <x:c r="H15" s="30" t="str">
        <x:v>Guidance or training is delivered, acknowledged where appropriate, and used in work practices.</x:v>
      </x:c>
      <x:c r="I15" s="47" t="str">
        <x:v>Completion, understanding, incidents, and changing risks are reviewed to refresh guidance and training.</x:v>
      </x:c>
      <x:c r="J15" s="31" t="str">
        <x:v>AI policy, acceptable-use standard, training record, acknowledgement, awareness material</x:v>
      </x:c>
      <x:c r="K15" s="31" t="str">
        <x:v>Yes</x:v>
      </x:c>
      <x:c r="L15" s="31" t="str">
        <x:v>NIST AI RMF GOVERN 2; NIST CSF PR.AT; ISO/IEC 42001 7.2–7.3</x:v>
      </x:c>
    </x:row>
    <x:row r="16" ht="115" customHeight="1">
      <x:c r="A16" s="31" t="str">
        <x:v>Q12</x:v>
      </x:c>
      <x:c r="B16" s="31" t="str">
        <x:v>Barriers and support</x:v>
      </x:c>
      <x:c r="C16" s="31" t="str">
        <x:v>What makes AI governance or cybersecurity difficult for your company, and what practical support would help?</x:v>
      </x:c>
      <x:c r="D16" s="31" t="str">
        <x:v>Probe for cost, time, skills, leadership priority, vendor information, unclear guidance, templates, training, assessments, or specialist advice.</x:v>
      </x:c>
      <x:c r="E16" s="31" t="str">
        <x:v>Qualitative context is collected to explain readiness results and identify practical support needs.</x:v>
      </x:c>
      <x:c r="F16" s="45" t="str">
        <x:v>Not applicable — do not code maturity checks.</x:v>
      </x:c>
      <x:c r="G16" s="30" t="str">
        <x:v>Not applicable — do not code maturity checks.</x:v>
      </x:c>
      <x:c r="H16" s="30" t="str">
        <x:v>Not applicable — do not code maturity checks.</x:v>
      </x:c>
      <x:c r="I16" s="47" t="str">
        <x:v>Not applicable — do not code maturity checks.</x:v>
      </x:c>
      <x:c r="J16" s="31" t="str">
        <x:v>Prioritized barriers, requested support, willingness to participate in follow-on assistance</x:v>
      </x:c>
      <x:c r="K16" s="31" t="str">
        <x:v>No</x:v>
      </x:c>
      <x:c r="L16" s="31" t="str">
        <x:v>Qualitative context; excluded from the maturity score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3200bf9355a449e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4" hidden="0" customWidth="1"/>
    <x:col min="3" max="3" width="42" hidden="0" customWidth="1"/>
    <x:col min="4" max="4" width="43" hidden="0" customWidth="1"/>
    <x:col min="5" max="5" width="44" hidden="0" customWidth="1"/>
    <x:col min="6" max="6" width="58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24" hidden="0" customWidth="1"/>
    <x:col min="12" max="12" width="14" hidden="0" customWidth="1"/>
    <x:col min="13" max="13" width="14" hidden="0" customWidth="1"/>
    <x:col min="14" max="14" width="31" hidden="0" customWidth="1"/>
    <x:col min="15" max="15" width="36" hidden="0" customWidth="1"/>
  </x:cols>
  <x:sheetData>
    <x:row r="1" ht="36" customHeight="1">
      <x:c r="A1" s="3" t="str">
        <x:v>SME-01 — AI governance and cybersecurity interview form</x:v>
      </x:c>
      <x:c r="B1" s="3" t="str">
        <x:v>SME-01 — AI governance and cybersecurity interview form</x:v>
      </x:c>
      <x:c r="C1" s="3" t="str">
        <x:v>SME-01 — AI governance and cybersecurity interview form</x:v>
      </x:c>
      <x:c r="D1" s="3" t="str">
        <x:v>SME-01 — AI governance and cybersecurity interview form</x:v>
      </x:c>
      <x:c r="E1" s="3" t="str">
        <x:v>SME-01 — AI governance and cybersecurity interview form</x:v>
      </x:c>
      <x:c r="F1" s="3" t="str">
        <x:v>SME-01 — AI governance and cybersecurity interview form</x:v>
      </x:c>
      <x:c r="G1" s="3" t="str">
        <x:v>SME-01 — AI governance and cybersecurity interview form</x:v>
      </x:c>
      <x:c r="H1" s="3" t="str">
        <x:v>SME-01 — AI governance and cybersecurity interview form</x:v>
      </x:c>
      <x:c r="I1" s="3" t="str">
        <x:v>SME-01 — AI governance and cybersecurity interview form</x:v>
      </x:c>
      <x:c r="J1" s="3" t="str">
        <x:v>SME-01 — AI governance and cybersecurity interview form</x:v>
      </x:c>
      <x:c r="K1" s="3" t="str">
        <x:v>SME-01 — AI governance and cybersecurity interview form</x:v>
      </x:c>
      <x:c r="L1" s="3" t="str">
        <x:v>SME-01 — AI governance and cybersecurity interview form</x:v>
      </x:c>
      <x:c r="M1" s="3" t="str">
        <x:v>SME-01 — AI governance and cybersecurity interview form</x:v>
      </x:c>
      <x:c r="N1" s="3" t="str">
        <x:v>SME-01 — AI governance and cybersecurity interview form</x:v>
      </x:c>
      <x:c r="O1" s="3" t="str">
        <x:v>SME-01 — AI governance and cybersecurity interview form</x:v>
      </x:c>
    </x:row>
    <x:row r="2">
      <x:c r="A2" s="51" t="str">
        <x:v>Recruitment channel</x:v>
      </x:c>
      <x:c r="B2" s="27" t="str"/>
      <x:c r="C2" s="51" t="str">
        <x:v>Sector</x:v>
      </x:c>
      <x:c r="D2" s="27" t="str"/>
      <x:c r="E2" s="51" t="str">
        <x:v>Employee range</x:v>
      </x:c>
      <x:c r="F2" s="27" t="str"/>
      <x:c r="G2" s="51" t="str">
        <x:v>AI adoption stage</x:v>
      </x:c>
      <x:c r="H2" s="27" t="str"/>
      <x:c r="I2" s="51" t="str">
        <x:v>Interview date</x:v>
      </x:c>
      <x:c r="J2" s="53" t="str"/>
    </x:row>
    <x:row r="3">
      <x:c r="A3" s="52" t="str">
        <x:v>Primary GenAI use case</x:v>
      </x:c>
      <x:c r="B3" s="30" t="str"/>
      <x:c r="C3" s="52" t="str">
        <x:v>Risk exposure</x:v>
      </x:c>
      <x:c r="D3" s="30" t="str"/>
      <x:c r="E3" s="52" t="str">
        <x:v>Respondent role</x:v>
      </x:c>
      <x:c r="F3" s="30" t="str"/>
      <x:c r="G3" s="52" t="str">
        <x:v>Consent confirmed?</x:v>
      </x:c>
      <x:c r="H3" s="30" t="str"/>
      <x:c r="I3" s="52" t="str">
        <x:v>Interviewer</x:v>
      </x:c>
      <x:c r="J3" s="30" t="str">
        <x:v>Maria Singh</x:v>
      </x:c>
    </x:row>
    <x:row r="5" ht="38" customHeight="1">
      <x:c r="A5" s="43" t="str">
        <x:v>During the interview: ask the question naturally and record the answer. After the answer: code the four evidence checks using the Question Guide. Yellow = your input; green/gray = automatic or fixed.</x:v>
      </x:c>
      <x:c r="B5" s="43" t="str">
        <x:v>During the interview: ask the question naturally and record the answer. After the answer: code the four evidence checks using the Question Guide. Yellow = your input; green/gray = automatic or fixed.</x:v>
      </x:c>
      <x:c r="C5" s="43" t="str">
        <x:v>During the interview: ask the question naturally and record the answer. After the answer: code the four evidence checks using the Question Guide. Yellow = your input; green/gray = automatic or fixed.</x:v>
      </x:c>
      <x:c r="D5" s="43" t="str">
        <x:v>During the interview: ask the question naturally and record the answer. After the answer: code the four evidence checks using the Question Guide. Yellow = your input; green/gray = automatic or fixed.</x:v>
      </x:c>
      <x:c r="E5" s="43" t="str">
        <x:v>During the interview: ask the question naturally and record the answer. After the answer: code the four evidence checks using the Question Guide. Yellow = your input; green/gray = automatic or fixed.</x:v>
      </x:c>
      <x:c r="F5" s="43" t="str">
        <x:v>During the interview: ask the question naturally and record the answer. After the answer: code the four evidence checks using the Question Guide. Yellow = your input; green/gray = automatic or fixed.</x:v>
      </x:c>
      <x:c r="G5" s="43" t="str">
        <x:v>During the interview: ask the question naturally and record the answer. After the answer: code the four evidence checks using the Question Guide. Yellow = your input; green/gray = automatic or fixed.</x:v>
      </x:c>
      <x:c r="H5" s="43" t="str">
        <x:v>During the interview: ask the question naturally and record the answer. After the answer: code the four evidence checks using the Question Guide. Yellow = your input; green/gray = automatic or fixed.</x:v>
      </x:c>
      <x:c r="I5" s="43" t="str">
        <x:v>During the interview: ask the question naturally and record the answer. After the answer: code the four evidence checks using the Question Guide. Yellow = your input; green/gray = automatic or fixed.</x:v>
      </x:c>
      <x:c r="J5" s="43" t="str">
        <x:v>During the interview: ask the question naturally and record the answer. After the answer: code the four evidence checks using the Question Guide. Yellow = your input; green/gray = automatic or fixed.</x:v>
      </x:c>
      <x:c r="K5" s="43" t="str">
        <x:v>During the interview: ask the question naturally and record the answer. After the answer: code the four evidence checks using the Question Guide. Yellow = your input; green/gray = automatic or fixed.</x:v>
      </x:c>
      <x:c r="L5" s="43" t="str">
        <x:v>During the interview: ask the question naturally and record the answer. After the answer: code the four evidence checks using the Question Guide. Yellow = your input; green/gray = automatic or fixed.</x:v>
      </x:c>
      <x:c r="M5" s="43" t="str">
        <x:v>During the interview: ask the question naturally and record the answer. After the answer: code the four evidence checks using the Question Guide. Yellow = your input; green/gray = automatic or fixed.</x:v>
      </x:c>
      <x:c r="N5" s="43" t="str">
        <x:v>During the interview: ask the question naturally and record the answer. After the answer: code the four evidence checks using the Question Guide. Yellow = your input; green/gray = automatic or fixed.</x:v>
      </x:c>
      <x:c r="O5" s="43" t="str">
        <x:v>During the interview: ask the question naturally and record the answer. After the answer: code the four evidence checks using the Question Guide. Yellow = your input; green/gray = automatic or fixed.</x:v>
      </x:c>
    </x:row>
    <x:row r="7" ht="48" customHeight="1">
      <x:c r="A7" s="12" t="str">
        <x:v>Q ID</x:v>
      </x:c>
      <x:c r="B7" s="13" t="str">
        <x:v>Domain</x:v>
      </x:c>
      <x:c r="C7" s="13" t="str">
        <x:v>Question to ask</x:v>
      </x:c>
      <x:c r="D7" s="13" t="str">
        <x:v>Suggested probes</x:v>
      </x:c>
      <x:c r="E7" s="13" t="str">
        <x:v>Control being measured</x:v>
      </x:c>
      <x:c r="F7" s="13" t="str">
        <x:v>Response/evidence notes</x:v>
      </x:c>
      <x:c r="G7" s="13" t="str">
        <x:v>Practice exists?</x:v>
      </x:c>
      <x:c r="H7" s="13" t="str">
        <x:v>Documented?</x:v>
      </x:c>
      <x:c r="I7" s="13" t="str">
        <x:v>Implemented?</x:v>
      </x:c>
      <x:c r="J7" s="13" t="str">
        <x:v>Reviewed?</x:v>
      </x:c>
      <x:c r="K7" s="13" t="str">
        <x:v>Evidence basis</x:v>
      </x:c>
      <x:c r="L7" s="13" t="str">
        <x:v>Confidence</x:v>
      </x:c>
      <x:c r="M7" s="13" t="str">
        <x:v>Auto score</x:v>
      </x:c>
      <x:c r="N7" s="13" t="str">
        <x:v>Score meaning</x:v>
      </x:c>
      <x:c r="O7" s="14" t="str">
        <x:v>Barrier/support notes</x:v>
      </x:c>
    </x:row>
    <x:row r="8" ht="92" customHeight="1">
      <x:c r="A8" s="46" t="str">
        <x:v>Q01</x:v>
      </x:c>
      <x:c r="B8" s="46" t="str">
        <x:f>VLOOKUP(A8,'Question Guide'!$A$5:$L$16,2,FALSE)</x:f>
        <x:v>AI use context</x:v>
      </x:c>
      <x:c r="C8" s="46" t="str">
        <x:f>VLOOKUP(A8,'Question Guide'!$A$5:$L$16,3,FALSE)</x:f>
        <x:v>What generative AI tools or use cases is your company exploring or using?</x:v>
      </x:c>
      <x:c r="D8" s="46" t="str">
        <x:f>VLOOKUP(A8,'Question Guide'!$A$5:$L$16,4,FALSE)</x:f>
        <x:v>Who uses them? For what process? What information is involved? When was the list last checked?</x:v>
      </x:c>
      <x:c r="E8" s="46" t="str">
        <x:f>VLOOKUP(A8,'Question Guide'!$A$5:$L$16,5,FALSE)</x:f>
        <x:v>AI use cases are identified, recorded, assigned an owner, and kept current.</x:v>
      </x:c>
      <x:c r="F8" s="27"/>
      <x:c r="G8" s="27"/>
      <x:c r="H8" s="27"/>
      <x:c r="I8" s="27"/>
      <x:c r="J8" s="27"/>
      <x:c r="K8" s="27"/>
      <x:c r="L8" s="27"/>
      <x:c r="M8" s="46" t="str">
        <x:f>IF(G8="","",IF(G8="No",0,IF(G8="Unknown","Needs review",IF(COUNTA(H8:J8)&lt;3,"Incomplete",IF(OR(H8="Unknown",I8="Unknown",J8="Unknown"),"Needs review",IF(AND(H8="Yes",I8="Yes",J8="Yes"),3,IF(AND(H8="Yes",I8="Yes"),2,1)))))))</x:f>
      </x:c>
      <x:c r="N8" s="46" t="str">
        <x:f>IF(ISNUMBER(M8),CHOOSE(M8+1,"Absent/not considered","Informal or ad hoc","Documented and implemented","Managed and reviewed"),M8)</x:f>
      </x:c>
      <x:c r="O8" s="27"/>
    </x:row>
    <x:row r="9" ht="92" customHeight="1">
      <x:c r="A9" s="47" t="str">
        <x:v>Q02</x:v>
      </x:c>
      <x:c r="B9" s="47" t="str">
        <x:f>VLOOKUP(A9,'Question Guide'!$A$5:$L$16,2,FALSE)</x:f>
        <x:v>Accountability and governance</x:v>
      </x:c>
      <x:c r="C9" s="47" t="str">
        <x:f>VLOOKUP(A9,'Question Guide'!$A$5:$L$16,3,FALSE)</x:f>
        <x:v>Who is responsible for approving and overseeing AI use?</x:v>
      </x:c>
      <x:c r="D9" s="47" t="str">
        <x:f>VLOOKUP(A9,'Question Guide'!$A$5:$L$16,4,FALSE)</x:f>
        <x:v>Who can approve, stop, or change a use case? When was this authority last used?</x:v>
      </x:c>
      <x:c r="E9" s="47" t="str">
        <x:f>VLOOKUP(A9,'Question Guide'!$A$5:$L$16,5,FALSE)</x:f>
        <x:v>AI decision rights, ownership, approval, and escalation responsibilities are assigned.</x:v>
      </x:c>
      <x:c r="F9" s="30"/>
      <x:c r="G9" s="30"/>
      <x:c r="H9" s="30"/>
      <x:c r="I9" s="30"/>
      <x:c r="J9" s="30"/>
      <x:c r="K9" s="30"/>
      <x:c r="L9" s="30"/>
      <x:c r="M9" s="47" t="str">
        <x:f>IF(G9="","",IF(G9="No",0,IF(G9="Unknown","Needs review",IF(COUNTA(H9:J9)&lt;3,"Incomplete",IF(OR(H9="Unknown",I9="Unknown",J9="Unknown"),"Needs review",IF(AND(H9="Yes",I9="Yes",J9="Yes"),3,IF(AND(H9="Yes",I9="Yes"),2,1)))))))</x:f>
      </x:c>
      <x:c r="N9" s="47" t="str">
        <x:f>IF(ISNUMBER(M9),CHOOSE(M9+1,"Absent/not considered","Informal or ad hoc","Documented and implemented","Managed and reviewed"),M9)</x:f>
      </x:c>
      <x:c r="O9" s="30"/>
    </x:row>
    <x:row r="10" ht="92" customHeight="1">
      <x:c r="A10" s="47" t="str">
        <x:v>Q03</x:v>
      </x:c>
      <x:c r="B10" s="47" t="str">
        <x:f>VLOOKUP(A10,'Question Guide'!$A$5:$L$16,2,FALSE)</x:f>
        <x:v>Accountability and governance</x:v>
      </x:c>
      <x:c r="C10" s="47" t="str">
        <x:f>VLOOKUP(A10,'Question Guide'!$A$5:$L$16,3,FALSE)</x:f>
        <x:v>Before an AI use case is approved, what risks does the company consider?</x:v>
      </x:c>
      <x:c r="D10" s="47" t="str">
        <x:f>VLOOKUP(A10,'Question Guide'!$A$5:$L$16,4,FALSE)</x:f>
        <x:v>Describe the most recent review. Were sensitive data, customer impact, autonomy, accuracy, and consequences considered?</x:v>
      </x:c>
      <x:c r="E10" s="47" t="str">
        <x:f>VLOOKUP(A10,'Question Guide'!$A$5:$L$16,5,FALSE)</x:f>
        <x:v>AI use cases undergo a risk review before approval and when material changes occur.</x:v>
      </x:c>
      <x:c r="F10" s="30"/>
      <x:c r="G10" s="30"/>
      <x:c r="H10" s="30"/>
      <x:c r="I10" s="30"/>
      <x:c r="J10" s="30"/>
      <x:c r="K10" s="30"/>
      <x:c r="L10" s="30"/>
      <x:c r="M10" s="47" t="str">
        <x:f>IF(G10="","",IF(G10="No",0,IF(G10="Unknown","Needs review",IF(COUNTA(H10:J10)&lt;3,"Incomplete",IF(OR(H10="Unknown",I10="Unknown",J10="Unknown"),"Needs review",IF(AND(H10="Yes",I10="Yes",J10="Yes"),3,IF(AND(H10="Yes",I10="Yes"),2,1)))))))</x:f>
      </x:c>
      <x:c r="N10" s="47" t="str">
        <x:f>IF(ISNUMBER(M10),CHOOSE(M10+1,"Absent/not considered","Informal or ad hoc","Documented and implemented","Managed and reviewed"),M10)</x:f>
      </x:c>
      <x:c r="O10" s="30"/>
    </x:row>
    <x:row r="11" ht="92" customHeight="1">
      <x:c r="A11" s="47" t="str">
        <x:v>Q04</x:v>
      </x:c>
      <x:c r="B11" s="47" t="str">
        <x:f>VLOOKUP(A11,'Question Guide'!$A$5:$L$16,2,FALSE)</x:f>
        <x:v>Data protection</x:v>
      </x:c>
      <x:c r="C11" s="47" t="str">
        <x:f>VLOOKUP(A11,'Question Guide'!$A$5:$L$16,3,FALSE)</x:f>
        <x:v>What information may or may not be entered into generative AI tools?</x:v>
      </x:c>
      <x:c r="D11" s="47" t="str">
        <x:f>VLOOKUP(A11,'Question Guide'!$A$5:$L$16,4,FALSE)</x:f>
        <x:v>How do employees know? Are customer, employee, financial, confidential, or regulated data addressed?</x:v>
      </x:c>
      <x:c r="E11" s="47" t="str">
        <x:f>VLOOKUP(A11,'Question Guide'!$A$5:$L$16,5,FALSE)</x:f>
        <x:v>Rules govern the data employees may enter into AI tools and how AI-generated information may be handled.</x:v>
      </x:c>
      <x:c r="F11" s="30"/>
      <x:c r="G11" s="30"/>
      <x:c r="H11" s="30"/>
      <x:c r="I11" s="30"/>
      <x:c r="J11" s="30"/>
      <x:c r="K11" s="30"/>
      <x:c r="L11" s="30"/>
      <x:c r="M11" s="47" t="str">
        <x:f>IF(G11="","",IF(G11="No",0,IF(G11="Unknown","Needs review",IF(COUNTA(H11:J11)&lt;3,"Incomplete",IF(OR(H11="Unknown",I11="Unknown",J11="Unknown"),"Needs review",IF(AND(H11="Yes",I11="Yes",J11="Yes"),3,IF(AND(H11="Yes",I11="Yes"),2,1)))))))</x:f>
      </x:c>
      <x:c r="N11" s="47" t="str">
        <x:f>IF(ISNUMBER(M11),CHOOSE(M11+1,"Absent/not considered","Informal or ad hoc","Documented and implemented","Managed and reviewed"),M11)</x:f>
      </x:c>
      <x:c r="O11" s="30"/>
    </x:row>
    <x:row r="12" ht="92" customHeight="1">
      <x:c r="A12" s="47" t="str">
        <x:v>Q05</x:v>
      </x:c>
      <x:c r="B12" s="47" t="str">
        <x:f>VLOOKUP(A12,'Question Guide'!$A$5:$L$16,2,FALSE)</x:f>
        <x:v>Third-party management</x:v>
      </x:c>
      <x:c r="C12" s="47" t="str">
        <x:f>VLOOKUP(A12,'Question Guide'!$A$5:$L$16,3,FALSE)</x:f>
        <x:v>How do you decide whether an AI vendor or tool is trustworthy enough to use?</x:v>
      </x:c>
      <x:c r="D12" s="47" t="str">
        <x:f>VLOOKUP(A12,'Question Guide'!$A$5:$L$16,4,FALSE)</x:f>
        <x:v>Do you examine retention, model training, security, subcontractors, location, incident terms, and contracts?</x:v>
      </x:c>
      <x:c r="E12" s="47" t="str">
        <x:f>VLOOKUP(A12,'Question Guide'!$A$5:$L$16,5,FALSE)</x:f>
        <x:v>AI vendors receive risk-based security, privacy, data-use, and contractual review before and during use.</x:v>
      </x:c>
      <x:c r="F12" s="30"/>
      <x:c r="G12" s="30"/>
      <x:c r="H12" s="30"/>
      <x:c r="I12" s="30"/>
      <x:c r="J12" s="30"/>
      <x:c r="K12" s="30"/>
      <x:c r="L12" s="30"/>
      <x:c r="M12" s="47" t="str">
        <x:f>IF(G12="","",IF(G12="No",0,IF(G12="Unknown","Needs review",IF(COUNTA(H12:J12)&lt;3,"Incomplete",IF(OR(H12="Unknown",I12="Unknown",J12="Unknown"),"Needs review",IF(AND(H12="Yes",I12="Yes",J12="Yes"),3,IF(AND(H12="Yes",I12="Yes"),2,1)))))))</x:f>
      </x:c>
      <x:c r="N12" s="47" t="str">
        <x:f>IF(ISNUMBER(M12),CHOOSE(M12+1,"Absent/not considered","Informal or ad hoc","Documented and implemented","Managed and reviewed"),M12)</x:f>
      </x:c>
      <x:c r="O12" s="30"/>
    </x:row>
    <x:row r="13" ht="92" customHeight="1">
      <x:c r="A13" s="47" t="str">
        <x:v>Q06</x:v>
      </x:c>
      <x:c r="B13" s="47" t="str">
        <x:f>VLOOKUP(A13,'Question Guide'!$A$5:$L$16,2,FALSE)</x:f>
        <x:v>Access and integration security</x:v>
      </x:c>
      <x:c r="C13" s="47" t="str">
        <x:f>VLOOKUP(A13,'Question Guide'!$A$5:$L$16,3,FALSE)</x:f>
        <x:v>How is access to AI tools and connected company systems managed?</x:v>
      </x:c>
      <x:c r="D13" s="47" t="str">
        <x:f>VLOOKUP(A13,'Question Guide'!$A$5:$L$16,4,FALSE)</x:f>
        <x:v>Are accounts shared? Is MFA used? What data can the tool retrieve? What actions can it take? What happens when someone leaves?</x:v>
      </x:c>
      <x:c r="E13" s="47" t="str">
        <x:f>VLOOKUP(A13,'Question Guide'!$A$5:$L$16,5,FALSE)</x:f>
        <x:v>AI access and integrations use individual identity, least privilege, controlled permissions, and timely removal.</x:v>
      </x:c>
      <x:c r="F13" s="30"/>
      <x:c r="G13" s="30"/>
      <x:c r="H13" s="30"/>
      <x:c r="I13" s="30"/>
      <x:c r="J13" s="30"/>
      <x:c r="K13" s="30"/>
      <x:c r="L13" s="30"/>
      <x:c r="M13" s="47" t="str">
        <x:f>IF(G13="","",IF(G13="No",0,IF(G13="Unknown","Needs review",IF(COUNTA(H13:J13)&lt;3,"Incomplete",IF(OR(H13="Unknown",I13="Unknown",J13="Unknown"),"Needs review",IF(AND(H13="Yes",I13="Yes",J13="Yes"),3,IF(AND(H13="Yes",I13="Yes"),2,1)))))))</x:f>
      </x:c>
      <x:c r="N13" s="47" t="str">
        <x:f>IF(ISNUMBER(M13),CHOOSE(M13+1,"Absent/not considered","Informal or ad hoc","Documented and implemented","Managed and reviewed"),M13)</x:f>
      </x:c>
      <x:c r="O13" s="30"/>
    </x:row>
    <x:row r="14" ht="92" customHeight="1">
      <x:c r="A14" s="47" t="str">
        <x:v>Q07</x:v>
      </x:c>
      <x:c r="B14" s="47" t="str">
        <x:f>VLOOKUP(A14,'Question Guide'!$A$5:$L$16,2,FALSE)</x:f>
        <x:v>Human oversight</x:v>
      </x:c>
      <x:c r="C14" s="47" t="str">
        <x:f>VLOOKUP(A14,'Question Guide'!$A$5:$L$16,3,FALSE)</x:f>
        <x:v>Which AI-generated outputs or actions require human review?</x:v>
      </x:c>
      <x:c r="D14" s="47" t="str">
        <x:f>VLOOKUP(A14,'Question Guide'!$A$5:$L$16,4,FALSE)</x:f>
        <x:v>Who reviews them? What are they checking? What happens when confidence is low or a customer may be affected?</x:v>
      </x:c>
      <x:c r="E14" s="47" t="str">
        <x:f>VLOOKUP(A14,'Question Guide'!$A$5:$L$16,5,FALSE)</x:f>
        <x:v>Risk-based human review, decision authority, override, and escalation are defined for consequential AI outputs or actions.</x:v>
      </x:c>
      <x:c r="F14" s="30"/>
      <x:c r="G14" s="30"/>
      <x:c r="H14" s="30"/>
      <x:c r="I14" s="30"/>
      <x:c r="J14" s="30"/>
      <x:c r="K14" s="30"/>
      <x:c r="L14" s="30"/>
      <x:c r="M14" s="47" t="str">
        <x:f>IF(G14="","",IF(G14="No",0,IF(G14="Unknown","Needs review",IF(COUNTA(H14:J14)&lt;3,"Incomplete",IF(OR(H14="Unknown",I14="Unknown",J14="Unknown"),"Needs review",IF(AND(H14="Yes",I14="Yes",J14="Yes"),3,IF(AND(H14="Yes",I14="Yes"),2,1)))))))</x:f>
      </x:c>
      <x:c r="N14" s="47" t="str">
        <x:f>IF(ISNUMBER(M14),CHOOSE(M14+1,"Absent/not considered","Informal or ad hoc","Documented and implemented","Managed and reviewed"),M14)</x:f>
      </x:c>
      <x:c r="O14" s="30"/>
    </x:row>
    <x:row r="15" ht="92" customHeight="1">
      <x:c r="A15" s="47" t="str">
        <x:v>Q08</x:v>
      </x:c>
      <x:c r="B15" s="47" t="str">
        <x:f>VLOOKUP(A15,'Question Guide'!$A$5:$L$16,2,FALSE)</x:f>
        <x:v>Testing and assurance</x:v>
      </x:c>
      <x:c r="C15" s="47" t="str">
        <x:f>VLOOKUP(A15,'Question Guide'!$A$5:$L$16,3,FALSE)</x:f>
        <x:v>How do you determine whether an AI system or output is accurate and reliable enough for its intended use?</x:v>
      </x:c>
      <x:c r="D15" s="47" t="str">
        <x:f>VLOOKUP(A15,'Question Guide'!$A$5:$L$16,4,FALSE)</x:f>
        <x:v>What was tested before use? Which failures matter? What acceptance level is required? Is testing repeated after change?</x:v>
      </x:c>
      <x:c r="E15" s="47" t="str">
        <x:f>VLOOKUP(A15,'Question Guide'!$A$5:$L$16,5,FALSE)</x:f>
        <x:v>AI use cases are tested against documented fitness, safety, security, and reliability criteria before use and after material change.</x:v>
      </x:c>
      <x:c r="F15" s="30"/>
      <x:c r="G15" s="30"/>
      <x:c r="H15" s="30"/>
      <x:c r="I15" s="30"/>
      <x:c r="J15" s="30"/>
      <x:c r="K15" s="30"/>
      <x:c r="L15" s="30"/>
      <x:c r="M15" s="47" t="str">
        <x:f>IF(G15="","",IF(G15="No",0,IF(G15="Unknown","Needs review",IF(COUNTA(H15:J15)&lt;3,"Incomplete",IF(OR(H15="Unknown",I15="Unknown",J15="Unknown"),"Needs review",IF(AND(H15="Yes",I15="Yes",J15="Yes"),3,IF(AND(H15="Yes",I15="Yes"),2,1)))))))</x:f>
      </x:c>
      <x:c r="N15" s="47" t="str">
        <x:f>IF(ISNUMBER(M15),CHOOSE(M15+1,"Absent/not considered","Informal or ad hoc","Documented and implemented","Managed and reviewed"),M15)</x:f>
      </x:c>
      <x:c r="O15" s="30"/>
    </x:row>
    <x:row r="16" ht="92" customHeight="1">
      <x:c r="A16" s="47" t="str">
        <x:v>Q09</x:v>
      </x:c>
      <x:c r="B16" s="47" t="str">
        <x:f>VLOOKUP(A16,'Question Guide'!$A$5:$L$16,2,FALSE)</x:f>
        <x:v>Monitoring and change</x:v>
      </x:c>
      <x:c r="C16" s="47" t="str">
        <x:f>VLOOKUP(A16,'Question Guide'!$A$5:$L$16,3,FALSE)</x:f>
        <x:v>After an AI use case goes live, how do you know it continues to operate safely and as intended?</x:v>
      </x:c>
      <x:c r="D16" s="47" t="str">
        <x:f>VLOOKUP(A16,'Question Guide'!$A$5:$L$16,4,FALSE)</x:f>
        <x:v>What is logged? Who reviews errors, complaints, vendor changes, unusual behavior, or declining quality?</x:v>
      </x:c>
      <x:c r="E16" s="47" t="str">
        <x:f>VLOOKUP(A16,'Question Guide'!$A$5:$L$16,5,FALSE)</x:f>
        <x:v>Operational AI use is monitored using assigned metrics, logs, issues, thresholds, and change triggers.</x:v>
      </x:c>
      <x:c r="F16" s="30"/>
      <x:c r="G16" s="30"/>
      <x:c r="H16" s="30"/>
      <x:c r="I16" s="30"/>
      <x:c r="J16" s="30"/>
      <x:c r="K16" s="30"/>
      <x:c r="L16" s="30"/>
      <x:c r="M16" s="47" t="str">
        <x:f>IF(G16="","",IF(G16="No",0,IF(G16="Unknown","Needs review",IF(COUNTA(H16:J16)&lt;3,"Incomplete",IF(OR(H16="Unknown",I16="Unknown",J16="Unknown"),"Needs review",IF(AND(H16="Yes",I16="Yes",J16="Yes"),3,IF(AND(H16="Yes",I16="Yes"),2,1)))))))</x:f>
      </x:c>
      <x:c r="N16" s="47" t="str">
        <x:f>IF(ISNUMBER(M16),CHOOSE(M16+1,"Absent/not considered","Informal or ad hoc","Documented and implemented","Managed and reviewed"),M16)</x:f>
      </x:c>
      <x:c r="O16" s="30"/>
    </x:row>
    <x:row r="17" ht="92" customHeight="1">
      <x:c r="A17" s="47" t="str">
        <x:v>Q10</x:v>
      </x:c>
      <x:c r="B17" s="47" t="str">
        <x:f>VLOOKUP(A17,'Question Guide'!$A$5:$L$16,2,FALSE)</x:f>
        <x:v>Incident response</x:v>
      </x:c>
      <x:c r="C17" s="47" t="str">
        <x:f>VLOOKUP(A17,'Question Guide'!$A$5:$L$16,3,FALSE)</x:f>
        <x:v>What would happen if an AI tool exposed sensitive information, produced harmful content, or took an unintended action?</x:v>
      </x:c>
      <x:c r="D17" s="47" t="str">
        <x:f>VLOOKUP(A17,'Question Guide'!$A$5:$L$16,4,FALSE)</x:f>
        <x:v>Who is notified? Can use be suspended? Is the vendor contacted? Has an AI scenario been exercised?</x:v>
      </x:c>
      <x:c r="E17" s="47" t="str">
        <x:f>VLOOKUP(A17,'Question Guide'!$A$5:$L$16,5,FALSE)</x:f>
        <x:v>AI-related events can be identified, contained, escalated, reported, investigated, and used to improve controls.</x:v>
      </x:c>
      <x:c r="F17" s="30"/>
      <x:c r="G17" s="30"/>
      <x:c r="H17" s="30"/>
      <x:c r="I17" s="30"/>
      <x:c r="J17" s="30"/>
      <x:c r="K17" s="30"/>
      <x:c r="L17" s="30"/>
      <x:c r="M17" s="47" t="str">
        <x:f>IF(G17="","",IF(G17="No",0,IF(G17="Unknown","Needs review",IF(COUNTA(H17:J17)&lt;3,"Incomplete",IF(OR(H17="Unknown",I17="Unknown",J17="Unknown"),"Needs review",IF(AND(H17="Yes",I17="Yes",J17="Yes"),3,IF(AND(H17="Yes",I17="Yes"),2,1)))))))</x:f>
      </x:c>
      <x:c r="N17" s="47" t="str">
        <x:f>IF(ISNUMBER(M17),CHOOSE(M17+1,"Absent/not considered","Informal or ad hoc","Documented and implemented","Managed and reviewed"),M17)</x:f>
      </x:c>
      <x:c r="O17" s="30"/>
    </x:row>
    <x:row r="18" ht="92" customHeight="1">
      <x:c r="A18" s="47" t="str">
        <x:v>Q11</x:v>
      </x:c>
      <x:c r="B18" s="47" t="str">
        <x:f>VLOOKUP(A18,'Question Guide'!$A$5:$L$16,2,FALSE)</x:f>
        <x:v>People and policy</x:v>
      </x:c>
      <x:c r="C18" s="47" t="str">
        <x:f>VLOOKUP(A18,'Question Guide'!$A$5:$L$16,3,FALSE)</x:f>
        <x:v>What guidance or training have employees received about responsible and secure AI use?</x:v>
      </x:c>
      <x:c r="D18" s="47" t="str">
        <x:f>VLOOKUP(A18,'Question Guide'!$A$5:$L$16,4,FALSE)</x:f>
        <x:v>Is it required? Does it cover approved tools, data, verification, disclosure, and reporting? How is it updated?</x:v>
      </x:c>
      <x:c r="E18" s="47" t="str">
        <x:f>VLOOKUP(A18,'Question Guide'!$A$5:$L$16,5,FALSE)</x:f>
        <x:v>Employees receive role-relevant AI policy, guidance, and awareness that are maintained as risks and use cases change.</x:v>
      </x:c>
      <x:c r="F18" s="30"/>
      <x:c r="G18" s="30"/>
      <x:c r="H18" s="30"/>
      <x:c r="I18" s="30"/>
      <x:c r="J18" s="30"/>
      <x:c r="K18" s="30"/>
      <x:c r="L18" s="30"/>
      <x:c r="M18" s="47" t="str">
        <x:f>IF(G18="","",IF(G18="No",0,IF(G18="Unknown","Needs review",IF(COUNTA(H18:J18)&lt;3,"Incomplete",IF(OR(H18="Unknown",I18="Unknown",J18="Unknown"),"Needs review",IF(AND(H18="Yes",I18="Yes",J18="Yes"),3,IF(AND(H18="Yes",I18="Yes"),2,1)))))))</x:f>
      </x:c>
      <x:c r="N18" s="47" t="str">
        <x:f>IF(ISNUMBER(M18),CHOOSE(M18+1,"Absent/not considered","Informal or ad hoc","Documented and implemented","Managed and reviewed"),M18)</x:f>
      </x:c>
      <x:c r="O18" s="30"/>
    </x:row>
    <x:row r="19" ht="92" customHeight="1">
      <x:c r="A19" s="47" t="str">
        <x:v>Q12</x:v>
      </x:c>
      <x:c r="B19" s="47" t="str">
        <x:f>VLOOKUP(A19,'Question Guide'!$A$5:$L$16,2,FALSE)</x:f>
        <x:v>Barriers and support</x:v>
      </x:c>
      <x:c r="C19" s="47" t="str">
        <x:f>VLOOKUP(A19,'Question Guide'!$A$5:$L$16,3,FALSE)</x:f>
        <x:v>What makes AI governance or cybersecurity difficult for your company, and what practical support would help?</x:v>
      </x:c>
      <x:c r="D19" s="47" t="str">
        <x:f>VLOOKUP(A19,'Question Guide'!$A$5:$L$16,4,FALSE)</x:f>
        <x:v>Probe for cost, time, skills, leadership priority, vendor information, unclear guidance, templates, training, assessments, or specialist advice.</x:v>
      </x:c>
      <x:c r="E19" s="47" t="str">
        <x:f>VLOOKUP(A19,'Question Guide'!$A$5:$L$16,5,FALSE)</x:f>
        <x:v>Qualitative context is collected to explain readiness results and identify practical support needs.</x:v>
      </x:c>
      <x:c r="F19" s="30"/>
      <x:c r="G19" s="64" t="str">
        <x:v>N/A</x:v>
      </x:c>
      <x:c r="H19" s="64" t="str">
        <x:v>N/A</x:v>
      </x:c>
      <x:c r="I19" s="64" t="str">
        <x:v>N/A</x:v>
      </x:c>
      <x:c r="J19" s="64" t="str">
        <x:v>N/A</x:v>
      </x:c>
      <x:c r="K19" s="30"/>
      <x:c r="L19" s="30"/>
      <x:c r="M19" s="65" t="str">
        <x:v>N/A</x:v>
      </x:c>
      <x:c r="N19" s="65" t="str">
        <x:v>Qualitative question — not scored</x:v>
      </x:c>
      <x:c r="O19" s="30"/>
    </x:row>
  </x:sheetData>
  <x:mergeCells>
    <x:mergeCell ref="A1:O1"/>
    <x:mergeCell ref="A5:O5"/>
  </x:mergeCells>
  <x:conditionalFormatting sqref="M8:M18">
    <x:cfRule type="cellIs" dxfId="0" priority="1" operator="equal">
      <x:formula>0</x:formula>
    </x:cfRule>
    <x:cfRule type="cellIs" dxfId="1" priority="2" operator="equal">
      <x:formula>1</x:formula>
    </x:cfRule>
    <x:cfRule type="cellIs" dxfId="2" priority="3" operator="equal">
      <x:formula>2</x:formula>
    </x:cfRule>
    <x:cfRule type="cellIs" dxfId="3" priority="4" operator="equal">
      <x:formula>3</x:formula>
    </x:cfRule>
  </x:conditionalFormatting>
  <x:dataValidations count="11">
    <x:dataValidation type="list" sqref="B2">
      <x:formula1>"SAIA,SCCCI,Both"</x:formula1>
    </x:dataValidation>
    <x:dataValidation type="list" sqref="F2">
      <x:formula1>"1–9,10–49,50–99,100–199,200+"</x:formula1>
    </x:dataValidation>
    <x:dataValidation type="list" sqref="H2">
      <x:formula1>"Exploring,Piloting,Operational use"</x:formula1>
    </x:dataValidation>
    <x:dataValidation type="list" sqref="D3">
      <x:formula1>"Lower,Moderate,Higher,To be assessed"</x:formula1>
    </x:dataValidation>
    <x:dataValidation type="list" sqref="H3">
      <x:formula1>"Yes,No"</x:formula1>
    </x:dataValidation>
    <x:dataValidation type="list" sqref="G8:G18">
      <x:formula1>"Yes,No,Unknown"</x:formula1>
    </x:dataValidation>
    <x:dataValidation type="list" sqref="H8:H18">
      <x:formula1>"Yes,No,Unknown"</x:formula1>
    </x:dataValidation>
    <x:dataValidation type="list" sqref="I8:I18">
      <x:formula1>"Yes,No,Unknown"</x:formula1>
    </x:dataValidation>
    <x:dataValidation type="list" sqref="J8:J18">
      <x:formula1>"Yes,No,Unknown"</x:formula1>
    </x:dataValidation>
    <x:dataValidation type="list" sqref="K8:K19">
      <x:formula1>"Statement only,Specific example described,Document described,Document observed,System evidence observed"</x:formula1>
    </x:dataValidation>
    <x:dataValidation type="list" sqref="L8:L19">
      <x:formula1>"Low,Medium,High"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4" hidden="0" customWidth="1"/>
    <x:col min="3" max="3" width="42" hidden="0" customWidth="1"/>
    <x:col min="4" max="4" width="43" hidden="0" customWidth="1"/>
    <x:col min="5" max="5" width="44" hidden="0" customWidth="1"/>
    <x:col min="6" max="6" width="58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24" hidden="0" customWidth="1"/>
    <x:col min="12" max="12" width="14" hidden="0" customWidth="1"/>
    <x:col min="13" max="13" width="14" hidden="0" customWidth="1"/>
    <x:col min="14" max="14" width="31" hidden="0" customWidth="1"/>
    <x:col min="15" max="15" width="36" hidden="0" customWidth="1"/>
  </x:cols>
  <x:sheetData>
    <x:row r="1" ht="36" customHeight="1">
      <x:c r="A1" s="3" t="str">
        <x:v>SME-02 — AI governance and cybersecurity interview form</x:v>
      </x:c>
      <x:c r="B1" s="3" t="str">
        <x:v>SME-02 — AI governance and cybersecurity interview form</x:v>
      </x:c>
      <x:c r="C1" s="3" t="str">
        <x:v>SME-02 — AI governance and cybersecurity interview form</x:v>
      </x:c>
      <x:c r="D1" s="3" t="str">
        <x:v>SME-02 — AI governance and cybersecurity interview form</x:v>
      </x:c>
      <x:c r="E1" s="3" t="str">
        <x:v>SME-02 — AI governance and cybersecurity interview form</x:v>
      </x:c>
      <x:c r="F1" s="3" t="str">
        <x:v>SME-02 — AI governance and cybersecurity interview form</x:v>
      </x:c>
      <x:c r="G1" s="3" t="str">
        <x:v>SME-02 — AI governance and cybersecurity interview form</x:v>
      </x:c>
      <x:c r="H1" s="3" t="str">
        <x:v>SME-02 — AI governance and cybersecurity interview form</x:v>
      </x:c>
      <x:c r="I1" s="3" t="str">
        <x:v>SME-02 — AI governance and cybersecurity interview form</x:v>
      </x:c>
      <x:c r="J1" s="3" t="str">
        <x:v>SME-02 — AI governance and cybersecurity interview form</x:v>
      </x:c>
      <x:c r="K1" s="3" t="str">
        <x:v>SME-02 — AI governance and cybersecurity interview form</x:v>
      </x:c>
      <x:c r="L1" s="3" t="str">
        <x:v>SME-02 — AI governance and cybersecurity interview form</x:v>
      </x:c>
      <x:c r="M1" s="3" t="str">
        <x:v>SME-02 — AI governance and cybersecurity interview form</x:v>
      </x:c>
      <x:c r="N1" s="3" t="str">
        <x:v>SME-02 — AI governance and cybersecurity interview form</x:v>
      </x:c>
      <x:c r="O1" s="3" t="str">
        <x:v>SME-02 — AI governance and cybersecurity interview form</x:v>
      </x:c>
    </x:row>
    <x:row r="2">
      <x:c r="A2" s="51" t="str">
        <x:v>Recruitment channel</x:v>
      </x:c>
      <x:c r="B2" s="27" t="str"/>
      <x:c r="C2" s="51" t="str">
        <x:v>Sector</x:v>
      </x:c>
      <x:c r="D2" s="27" t="str"/>
      <x:c r="E2" s="51" t="str">
        <x:v>Employee range</x:v>
      </x:c>
      <x:c r="F2" s="27" t="str"/>
      <x:c r="G2" s="51" t="str">
        <x:v>AI adoption stage</x:v>
      </x:c>
      <x:c r="H2" s="27" t="str"/>
      <x:c r="I2" s="51" t="str">
        <x:v>Interview date</x:v>
      </x:c>
      <x:c r="J2" s="53" t="str"/>
    </x:row>
    <x:row r="3">
      <x:c r="A3" s="52" t="str">
        <x:v>Primary GenAI use case</x:v>
      </x:c>
      <x:c r="B3" s="30" t="str"/>
      <x:c r="C3" s="52" t="str">
        <x:v>Risk exposure</x:v>
      </x:c>
      <x:c r="D3" s="30" t="str"/>
      <x:c r="E3" s="52" t="str">
        <x:v>Respondent role</x:v>
      </x:c>
      <x:c r="F3" s="30" t="str"/>
      <x:c r="G3" s="52" t="str">
        <x:v>Consent confirmed?</x:v>
      </x:c>
      <x:c r="H3" s="30" t="str"/>
      <x:c r="I3" s="52" t="str">
        <x:v>Interviewer</x:v>
      </x:c>
      <x:c r="J3" s="30" t="str">
        <x:v>Maria Singh</x:v>
      </x:c>
    </x:row>
    <x:row r="5" ht="38" customHeight="1">
      <x:c r="A5" s="43" t="str">
        <x:v>During the interview: ask the question naturally and record the answer. After the answer: code the four evidence checks using the Question Guide. Yellow = your input; green/gray = automatic or fixed.</x:v>
      </x:c>
      <x:c r="B5" s="43" t="str">
        <x:v>During the interview: ask the question naturally and record the answer. After the answer: code the four evidence checks using the Question Guide. Yellow = your input; green/gray = automatic or fixed.</x:v>
      </x:c>
      <x:c r="C5" s="43" t="str">
        <x:v>During the interview: ask the question naturally and record the answer. After the answer: code the four evidence checks using the Question Guide. Yellow = your input; green/gray = automatic or fixed.</x:v>
      </x:c>
      <x:c r="D5" s="43" t="str">
        <x:v>During the interview: ask the question naturally and record the answer. After the answer: code the four evidence checks using the Question Guide. Yellow = your input; green/gray = automatic or fixed.</x:v>
      </x:c>
      <x:c r="E5" s="43" t="str">
        <x:v>During the interview: ask the question naturally and record the answer. After the answer: code the four evidence checks using the Question Guide. Yellow = your input; green/gray = automatic or fixed.</x:v>
      </x:c>
      <x:c r="F5" s="43" t="str">
        <x:v>During the interview: ask the question naturally and record the answer. After the answer: code the four evidence checks using the Question Guide. Yellow = your input; green/gray = automatic or fixed.</x:v>
      </x:c>
      <x:c r="G5" s="43" t="str">
        <x:v>During the interview: ask the question naturally and record the answer. After the answer: code the four evidence checks using the Question Guide. Yellow = your input; green/gray = automatic or fixed.</x:v>
      </x:c>
      <x:c r="H5" s="43" t="str">
        <x:v>During the interview: ask the question naturally and record the answer. After the answer: code the four evidence checks using the Question Guide. Yellow = your input; green/gray = automatic or fixed.</x:v>
      </x:c>
      <x:c r="I5" s="43" t="str">
        <x:v>During the interview: ask the question naturally and record the answer. After the answer: code the four evidence checks using the Question Guide. Yellow = your input; green/gray = automatic or fixed.</x:v>
      </x:c>
      <x:c r="J5" s="43" t="str">
        <x:v>During the interview: ask the question naturally and record the answer. After the answer: code the four evidence checks using the Question Guide. Yellow = your input; green/gray = automatic or fixed.</x:v>
      </x:c>
      <x:c r="K5" s="43" t="str">
        <x:v>During the interview: ask the question naturally and record the answer. After the answer: code the four evidence checks using the Question Guide. Yellow = your input; green/gray = automatic or fixed.</x:v>
      </x:c>
      <x:c r="L5" s="43" t="str">
        <x:v>During the interview: ask the question naturally and record the answer. After the answer: code the four evidence checks using the Question Guide. Yellow = your input; green/gray = automatic or fixed.</x:v>
      </x:c>
      <x:c r="M5" s="43" t="str">
        <x:v>During the interview: ask the question naturally and record the answer. After the answer: code the four evidence checks using the Question Guide. Yellow = your input; green/gray = automatic or fixed.</x:v>
      </x:c>
      <x:c r="N5" s="43" t="str">
        <x:v>During the interview: ask the question naturally and record the answer. After the answer: code the four evidence checks using the Question Guide. Yellow = your input; green/gray = automatic or fixed.</x:v>
      </x:c>
      <x:c r="O5" s="43" t="str">
        <x:v>During the interview: ask the question naturally and record the answer. After the answer: code the four evidence checks using the Question Guide. Yellow = your input; green/gray = automatic or fixed.</x:v>
      </x:c>
    </x:row>
    <x:row r="7" ht="48" customHeight="1">
      <x:c r="A7" s="12" t="str">
        <x:v>Q ID</x:v>
      </x:c>
      <x:c r="B7" s="13" t="str">
        <x:v>Domain</x:v>
      </x:c>
      <x:c r="C7" s="13" t="str">
        <x:v>Question to ask</x:v>
      </x:c>
      <x:c r="D7" s="13" t="str">
        <x:v>Suggested probes</x:v>
      </x:c>
      <x:c r="E7" s="13" t="str">
        <x:v>Control being measured</x:v>
      </x:c>
      <x:c r="F7" s="13" t="str">
        <x:v>Response/evidence notes</x:v>
      </x:c>
      <x:c r="G7" s="13" t="str">
        <x:v>Practice exists?</x:v>
      </x:c>
      <x:c r="H7" s="13" t="str">
        <x:v>Documented?</x:v>
      </x:c>
      <x:c r="I7" s="13" t="str">
        <x:v>Implemented?</x:v>
      </x:c>
      <x:c r="J7" s="13" t="str">
        <x:v>Reviewed?</x:v>
      </x:c>
      <x:c r="K7" s="13" t="str">
        <x:v>Evidence basis</x:v>
      </x:c>
      <x:c r="L7" s="13" t="str">
        <x:v>Confidence</x:v>
      </x:c>
      <x:c r="M7" s="13" t="str">
        <x:v>Auto score</x:v>
      </x:c>
      <x:c r="N7" s="13" t="str">
        <x:v>Score meaning</x:v>
      </x:c>
      <x:c r="O7" s="14" t="str">
        <x:v>Barrier/support notes</x:v>
      </x:c>
    </x:row>
    <x:row r="8" ht="92" customHeight="1">
      <x:c r="A8" s="46" t="str">
        <x:v>Q01</x:v>
      </x:c>
      <x:c r="B8" s="46" t="str">
        <x:f>VLOOKUP(A8,'Question Guide'!$A$5:$L$16,2,FALSE)</x:f>
        <x:v>AI use context</x:v>
      </x:c>
      <x:c r="C8" s="46" t="str">
        <x:f>VLOOKUP(A8,'Question Guide'!$A$5:$L$16,3,FALSE)</x:f>
        <x:v>What generative AI tools or use cases is your company exploring or using?</x:v>
      </x:c>
      <x:c r="D8" s="46" t="str">
        <x:f>VLOOKUP(A8,'Question Guide'!$A$5:$L$16,4,FALSE)</x:f>
        <x:v>Who uses them? For what process? What information is involved? When was the list last checked?</x:v>
      </x:c>
      <x:c r="E8" s="46" t="str">
        <x:f>VLOOKUP(A8,'Question Guide'!$A$5:$L$16,5,FALSE)</x:f>
        <x:v>AI use cases are identified, recorded, assigned an owner, and kept current.</x:v>
      </x:c>
      <x:c r="F8" s="27"/>
      <x:c r="G8" s="27"/>
      <x:c r="H8" s="27"/>
      <x:c r="I8" s="27"/>
      <x:c r="J8" s="27"/>
      <x:c r="K8" s="27"/>
      <x:c r="L8" s="27"/>
      <x:c r="M8" s="46" t="str">
        <x:f>IF(G8="","",IF(G8="No",0,IF(G8="Unknown","Needs review",IF(COUNTA(H8:J8)&lt;3,"Incomplete",IF(OR(H8="Unknown",I8="Unknown",J8="Unknown"),"Needs review",IF(AND(H8="Yes",I8="Yes",J8="Yes"),3,IF(AND(H8="Yes",I8="Yes"),2,1)))))))</x:f>
      </x:c>
      <x:c r="N8" s="46" t="str">
        <x:f>IF(ISNUMBER(M8),CHOOSE(M8+1,"Absent/not considered","Informal or ad hoc","Documented and implemented","Managed and reviewed"),M8)</x:f>
      </x:c>
      <x:c r="O8" s="27"/>
    </x:row>
    <x:row r="9" ht="92" customHeight="1">
      <x:c r="A9" s="47" t="str">
        <x:v>Q02</x:v>
      </x:c>
      <x:c r="B9" s="47" t="str">
        <x:f>VLOOKUP(A9,'Question Guide'!$A$5:$L$16,2,FALSE)</x:f>
        <x:v>Accountability and governance</x:v>
      </x:c>
      <x:c r="C9" s="47" t="str">
        <x:f>VLOOKUP(A9,'Question Guide'!$A$5:$L$16,3,FALSE)</x:f>
        <x:v>Who is responsible for approving and overseeing AI use?</x:v>
      </x:c>
      <x:c r="D9" s="47" t="str">
        <x:f>VLOOKUP(A9,'Question Guide'!$A$5:$L$16,4,FALSE)</x:f>
        <x:v>Who can approve, stop, or change a use case? When was this authority last used?</x:v>
      </x:c>
      <x:c r="E9" s="47" t="str">
        <x:f>VLOOKUP(A9,'Question Guide'!$A$5:$L$16,5,FALSE)</x:f>
        <x:v>AI decision rights, ownership, approval, and escalation responsibilities are assigned.</x:v>
      </x:c>
      <x:c r="F9" s="30"/>
      <x:c r="G9" s="30"/>
      <x:c r="H9" s="30"/>
      <x:c r="I9" s="30"/>
      <x:c r="J9" s="30"/>
      <x:c r="K9" s="30"/>
      <x:c r="L9" s="30"/>
      <x:c r="M9" s="47" t="str">
        <x:f>IF(G9="","",IF(G9="No",0,IF(G9="Unknown","Needs review",IF(COUNTA(H9:J9)&lt;3,"Incomplete",IF(OR(H9="Unknown",I9="Unknown",J9="Unknown"),"Needs review",IF(AND(H9="Yes",I9="Yes",J9="Yes"),3,IF(AND(H9="Yes",I9="Yes"),2,1)))))))</x:f>
      </x:c>
      <x:c r="N9" s="47" t="str">
        <x:f>IF(ISNUMBER(M9),CHOOSE(M9+1,"Absent/not considered","Informal or ad hoc","Documented and implemented","Managed and reviewed"),M9)</x:f>
      </x:c>
      <x:c r="O9" s="30"/>
    </x:row>
    <x:row r="10" ht="92" customHeight="1">
      <x:c r="A10" s="47" t="str">
        <x:v>Q03</x:v>
      </x:c>
      <x:c r="B10" s="47" t="str">
        <x:f>VLOOKUP(A10,'Question Guide'!$A$5:$L$16,2,FALSE)</x:f>
        <x:v>Accountability and governance</x:v>
      </x:c>
      <x:c r="C10" s="47" t="str">
        <x:f>VLOOKUP(A10,'Question Guide'!$A$5:$L$16,3,FALSE)</x:f>
        <x:v>Before an AI use case is approved, what risks does the company consider?</x:v>
      </x:c>
      <x:c r="D10" s="47" t="str">
        <x:f>VLOOKUP(A10,'Question Guide'!$A$5:$L$16,4,FALSE)</x:f>
        <x:v>Describe the most recent review. Were sensitive data, customer impact, autonomy, accuracy, and consequences considered?</x:v>
      </x:c>
      <x:c r="E10" s="47" t="str">
        <x:f>VLOOKUP(A10,'Question Guide'!$A$5:$L$16,5,FALSE)</x:f>
        <x:v>AI use cases undergo a risk review before approval and when material changes occur.</x:v>
      </x:c>
      <x:c r="F10" s="30"/>
      <x:c r="G10" s="30"/>
      <x:c r="H10" s="30"/>
      <x:c r="I10" s="30"/>
      <x:c r="J10" s="30"/>
      <x:c r="K10" s="30"/>
      <x:c r="L10" s="30"/>
      <x:c r="M10" s="47" t="str">
        <x:f>IF(G10="","",IF(G10="No",0,IF(G10="Unknown","Needs review",IF(COUNTA(H10:J10)&lt;3,"Incomplete",IF(OR(H10="Unknown",I10="Unknown",J10="Unknown"),"Needs review",IF(AND(H10="Yes",I10="Yes",J10="Yes"),3,IF(AND(H10="Yes",I10="Yes"),2,1)))))))</x:f>
      </x:c>
      <x:c r="N10" s="47" t="str">
        <x:f>IF(ISNUMBER(M10),CHOOSE(M10+1,"Absent/not considered","Informal or ad hoc","Documented and implemented","Managed and reviewed"),M10)</x:f>
      </x:c>
      <x:c r="O10" s="30"/>
    </x:row>
    <x:row r="11" ht="92" customHeight="1">
      <x:c r="A11" s="47" t="str">
        <x:v>Q04</x:v>
      </x:c>
      <x:c r="B11" s="47" t="str">
        <x:f>VLOOKUP(A11,'Question Guide'!$A$5:$L$16,2,FALSE)</x:f>
        <x:v>Data protection</x:v>
      </x:c>
      <x:c r="C11" s="47" t="str">
        <x:f>VLOOKUP(A11,'Question Guide'!$A$5:$L$16,3,FALSE)</x:f>
        <x:v>What information may or may not be entered into generative AI tools?</x:v>
      </x:c>
      <x:c r="D11" s="47" t="str">
        <x:f>VLOOKUP(A11,'Question Guide'!$A$5:$L$16,4,FALSE)</x:f>
        <x:v>How do employees know? Are customer, employee, financial, confidential, or regulated data addressed?</x:v>
      </x:c>
      <x:c r="E11" s="47" t="str">
        <x:f>VLOOKUP(A11,'Question Guide'!$A$5:$L$16,5,FALSE)</x:f>
        <x:v>Rules govern the data employees may enter into AI tools and how AI-generated information may be handled.</x:v>
      </x:c>
      <x:c r="F11" s="30"/>
      <x:c r="G11" s="30"/>
      <x:c r="H11" s="30"/>
      <x:c r="I11" s="30"/>
      <x:c r="J11" s="30"/>
      <x:c r="K11" s="30"/>
      <x:c r="L11" s="30"/>
      <x:c r="M11" s="47" t="str">
        <x:f>IF(G11="","",IF(G11="No",0,IF(G11="Unknown","Needs review",IF(COUNTA(H11:J11)&lt;3,"Incomplete",IF(OR(H11="Unknown",I11="Unknown",J11="Unknown"),"Needs review",IF(AND(H11="Yes",I11="Yes",J11="Yes"),3,IF(AND(H11="Yes",I11="Yes"),2,1)))))))</x:f>
      </x:c>
      <x:c r="N11" s="47" t="str">
        <x:f>IF(ISNUMBER(M11),CHOOSE(M11+1,"Absent/not considered","Informal or ad hoc","Documented and implemented","Managed and reviewed"),M11)</x:f>
      </x:c>
      <x:c r="O11" s="30"/>
    </x:row>
    <x:row r="12" ht="92" customHeight="1">
      <x:c r="A12" s="47" t="str">
        <x:v>Q05</x:v>
      </x:c>
      <x:c r="B12" s="47" t="str">
        <x:f>VLOOKUP(A12,'Question Guide'!$A$5:$L$16,2,FALSE)</x:f>
        <x:v>Third-party management</x:v>
      </x:c>
      <x:c r="C12" s="47" t="str">
        <x:f>VLOOKUP(A12,'Question Guide'!$A$5:$L$16,3,FALSE)</x:f>
        <x:v>How do you decide whether an AI vendor or tool is trustworthy enough to use?</x:v>
      </x:c>
      <x:c r="D12" s="47" t="str">
        <x:f>VLOOKUP(A12,'Question Guide'!$A$5:$L$16,4,FALSE)</x:f>
        <x:v>Do you examine retention, model training, security, subcontractors, location, incident terms, and contracts?</x:v>
      </x:c>
      <x:c r="E12" s="47" t="str">
        <x:f>VLOOKUP(A12,'Question Guide'!$A$5:$L$16,5,FALSE)</x:f>
        <x:v>AI vendors receive risk-based security, privacy, data-use, and contractual review before and during use.</x:v>
      </x:c>
      <x:c r="F12" s="30"/>
      <x:c r="G12" s="30"/>
      <x:c r="H12" s="30"/>
      <x:c r="I12" s="30"/>
      <x:c r="J12" s="30"/>
      <x:c r="K12" s="30"/>
      <x:c r="L12" s="30"/>
      <x:c r="M12" s="47" t="str">
        <x:f>IF(G12="","",IF(G12="No",0,IF(G12="Unknown","Needs review",IF(COUNTA(H12:J12)&lt;3,"Incomplete",IF(OR(H12="Unknown",I12="Unknown",J12="Unknown"),"Needs review",IF(AND(H12="Yes",I12="Yes",J12="Yes"),3,IF(AND(H12="Yes",I12="Yes"),2,1)))))))</x:f>
      </x:c>
      <x:c r="N12" s="47" t="str">
        <x:f>IF(ISNUMBER(M12),CHOOSE(M12+1,"Absent/not considered","Informal or ad hoc","Documented and implemented","Managed and reviewed"),M12)</x:f>
      </x:c>
      <x:c r="O12" s="30"/>
    </x:row>
    <x:row r="13" ht="92" customHeight="1">
      <x:c r="A13" s="47" t="str">
        <x:v>Q06</x:v>
      </x:c>
      <x:c r="B13" s="47" t="str">
        <x:f>VLOOKUP(A13,'Question Guide'!$A$5:$L$16,2,FALSE)</x:f>
        <x:v>Access and integration security</x:v>
      </x:c>
      <x:c r="C13" s="47" t="str">
        <x:f>VLOOKUP(A13,'Question Guide'!$A$5:$L$16,3,FALSE)</x:f>
        <x:v>How is access to AI tools and connected company systems managed?</x:v>
      </x:c>
      <x:c r="D13" s="47" t="str">
        <x:f>VLOOKUP(A13,'Question Guide'!$A$5:$L$16,4,FALSE)</x:f>
        <x:v>Are accounts shared? Is MFA used? What data can the tool retrieve? What actions can it take? What happens when someone leaves?</x:v>
      </x:c>
      <x:c r="E13" s="47" t="str">
        <x:f>VLOOKUP(A13,'Question Guide'!$A$5:$L$16,5,FALSE)</x:f>
        <x:v>AI access and integrations use individual identity, least privilege, controlled permissions, and timely removal.</x:v>
      </x:c>
      <x:c r="F13" s="30"/>
      <x:c r="G13" s="30"/>
      <x:c r="H13" s="30"/>
      <x:c r="I13" s="30"/>
      <x:c r="J13" s="30"/>
      <x:c r="K13" s="30"/>
      <x:c r="L13" s="30"/>
      <x:c r="M13" s="47" t="str">
        <x:f>IF(G13="","",IF(G13="No",0,IF(G13="Unknown","Needs review",IF(COUNTA(H13:J13)&lt;3,"Incomplete",IF(OR(H13="Unknown",I13="Unknown",J13="Unknown"),"Needs review",IF(AND(H13="Yes",I13="Yes",J13="Yes"),3,IF(AND(H13="Yes",I13="Yes"),2,1)))))))</x:f>
      </x:c>
      <x:c r="N13" s="47" t="str">
        <x:f>IF(ISNUMBER(M13),CHOOSE(M13+1,"Absent/not considered","Informal or ad hoc","Documented and implemented","Managed and reviewed"),M13)</x:f>
      </x:c>
      <x:c r="O13" s="30"/>
    </x:row>
    <x:row r="14" ht="92" customHeight="1">
      <x:c r="A14" s="47" t="str">
        <x:v>Q07</x:v>
      </x:c>
      <x:c r="B14" s="47" t="str">
        <x:f>VLOOKUP(A14,'Question Guide'!$A$5:$L$16,2,FALSE)</x:f>
        <x:v>Human oversight</x:v>
      </x:c>
      <x:c r="C14" s="47" t="str">
        <x:f>VLOOKUP(A14,'Question Guide'!$A$5:$L$16,3,FALSE)</x:f>
        <x:v>Which AI-generated outputs or actions require human review?</x:v>
      </x:c>
      <x:c r="D14" s="47" t="str">
        <x:f>VLOOKUP(A14,'Question Guide'!$A$5:$L$16,4,FALSE)</x:f>
        <x:v>Who reviews them? What are they checking? What happens when confidence is low or a customer may be affected?</x:v>
      </x:c>
      <x:c r="E14" s="47" t="str">
        <x:f>VLOOKUP(A14,'Question Guide'!$A$5:$L$16,5,FALSE)</x:f>
        <x:v>Risk-based human review, decision authority, override, and escalation are defined for consequential AI outputs or actions.</x:v>
      </x:c>
      <x:c r="F14" s="30"/>
      <x:c r="G14" s="30"/>
      <x:c r="H14" s="30"/>
      <x:c r="I14" s="30"/>
      <x:c r="J14" s="30"/>
      <x:c r="K14" s="30"/>
      <x:c r="L14" s="30"/>
      <x:c r="M14" s="47" t="str">
        <x:f>IF(G14="","",IF(G14="No",0,IF(G14="Unknown","Needs review",IF(COUNTA(H14:J14)&lt;3,"Incomplete",IF(OR(H14="Unknown",I14="Unknown",J14="Unknown"),"Needs review",IF(AND(H14="Yes",I14="Yes",J14="Yes"),3,IF(AND(H14="Yes",I14="Yes"),2,1)))))))</x:f>
      </x:c>
      <x:c r="N14" s="47" t="str">
        <x:f>IF(ISNUMBER(M14),CHOOSE(M14+1,"Absent/not considered","Informal or ad hoc","Documented and implemented","Managed and reviewed"),M14)</x:f>
      </x:c>
      <x:c r="O14" s="30"/>
    </x:row>
    <x:row r="15" ht="92" customHeight="1">
      <x:c r="A15" s="47" t="str">
        <x:v>Q08</x:v>
      </x:c>
      <x:c r="B15" s="47" t="str">
        <x:f>VLOOKUP(A15,'Question Guide'!$A$5:$L$16,2,FALSE)</x:f>
        <x:v>Testing and assurance</x:v>
      </x:c>
      <x:c r="C15" s="47" t="str">
        <x:f>VLOOKUP(A15,'Question Guide'!$A$5:$L$16,3,FALSE)</x:f>
        <x:v>How do you determine whether an AI system or output is accurate and reliable enough for its intended use?</x:v>
      </x:c>
      <x:c r="D15" s="47" t="str">
        <x:f>VLOOKUP(A15,'Question Guide'!$A$5:$L$16,4,FALSE)</x:f>
        <x:v>What was tested before use? Which failures matter? What acceptance level is required? Is testing repeated after change?</x:v>
      </x:c>
      <x:c r="E15" s="47" t="str">
        <x:f>VLOOKUP(A15,'Question Guide'!$A$5:$L$16,5,FALSE)</x:f>
        <x:v>AI use cases are tested against documented fitness, safety, security, and reliability criteria before use and after material change.</x:v>
      </x:c>
      <x:c r="F15" s="30"/>
      <x:c r="G15" s="30"/>
      <x:c r="H15" s="30"/>
      <x:c r="I15" s="30"/>
      <x:c r="J15" s="30"/>
      <x:c r="K15" s="30"/>
      <x:c r="L15" s="30"/>
      <x:c r="M15" s="47" t="str">
        <x:f>IF(G15="","",IF(G15="No",0,IF(G15="Unknown","Needs review",IF(COUNTA(H15:J15)&lt;3,"Incomplete",IF(OR(H15="Unknown",I15="Unknown",J15="Unknown"),"Needs review",IF(AND(H15="Yes",I15="Yes",J15="Yes"),3,IF(AND(H15="Yes",I15="Yes"),2,1)))))))</x:f>
      </x:c>
      <x:c r="N15" s="47" t="str">
        <x:f>IF(ISNUMBER(M15),CHOOSE(M15+1,"Absent/not considered","Informal or ad hoc","Documented and implemented","Managed and reviewed"),M15)</x:f>
      </x:c>
      <x:c r="O15" s="30"/>
    </x:row>
    <x:row r="16" ht="92" customHeight="1">
      <x:c r="A16" s="47" t="str">
        <x:v>Q09</x:v>
      </x:c>
      <x:c r="B16" s="47" t="str">
        <x:f>VLOOKUP(A16,'Question Guide'!$A$5:$L$16,2,FALSE)</x:f>
        <x:v>Monitoring and change</x:v>
      </x:c>
      <x:c r="C16" s="47" t="str">
        <x:f>VLOOKUP(A16,'Question Guide'!$A$5:$L$16,3,FALSE)</x:f>
        <x:v>After an AI use case goes live, how do you know it continues to operate safely and as intended?</x:v>
      </x:c>
      <x:c r="D16" s="47" t="str">
        <x:f>VLOOKUP(A16,'Question Guide'!$A$5:$L$16,4,FALSE)</x:f>
        <x:v>What is logged? Who reviews errors, complaints, vendor changes, unusual behavior, or declining quality?</x:v>
      </x:c>
      <x:c r="E16" s="47" t="str">
        <x:f>VLOOKUP(A16,'Question Guide'!$A$5:$L$16,5,FALSE)</x:f>
        <x:v>Operational AI use is monitored using assigned metrics, logs, issues, thresholds, and change triggers.</x:v>
      </x:c>
      <x:c r="F16" s="30"/>
      <x:c r="G16" s="30"/>
      <x:c r="H16" s="30"/>
      <x:c r="I16" s="30"/>
      <x:c r="J16" s="30"/>
      <x:c r="K16" s="30"/>
      <x:c r="L16" s="30"/>
      <x:c r="M16" s="47" t="str">
        <x:f>IF(G16="","",IF(G16="No",0,IF(G16="Unknown","Needs review",IF(COUNTA(H16:J16)&lt;3,"Incomplete",IF(OR(H16="Unknown",I16="Unknown",J16="Unknown"),"Needs review",IF(AND(H16="Yes",I16="Yes",J16="Yes"),3,IF(AND(H16="Yes",I16="Yes"),2,1)))))))</x:f>
      </x:c>
      <x:c r="N16" s="47" t="str">
        <x:f>IF(ISNUMBER(M16),CHOOSE(M16+1,"Absent/not considered","Informal or ad hoc","Documented and implemented","Managed and reviewed"),M16)</x:f>
      </x:c>
      <x:c r="O16" s="30"/>
    </x:row>
    <x:row r="17" ht="92" customHeight="1">
      <x:c r="A17" s="47" t="str">
        <x:v>Q10</x:v>
      </x:c>
      <x:c r="B17" s="47" t="str">
        <x:f>VLOOKUP(A17,'Question Guide'!$A$5:$L$16,2,FALSE)</x:f>
        <x:v>Incident response</x:v>
      </x:c>
      <x:c r="C17" s="47" t="str">
        <x:f>VLOOKUP(A17,'Question Guide'!$A$5:$L$16,3,FALSE)</x:f>
        <x:v>What would happen if an AI tool exposed sensitive information, produced harmful content, or took an unintended action?</x:v>
      </x:c>
      <x:c r="D17" s="47" t="str">
        <x:f>VLOOKUP(A17,'Question Guide'!$A$5:$L$16,4,FALSE)</x:f>
        <x:v>Who is notified? Can use be suspended? Is the vendor contacted? Has an AI scenario been exercised?</x:v>
      </x:c>
      <x:c r="E17" s="47" t="str">
        <x:f>VLOOKUP(A17,'Question Guide'!$A$5:$L$16,5,FALSE)</x:f>
        <x:v>AI-related events can be identified, contained, escalated, reported, investigated, and used to improve controls.</x:v>
      </x:c>
      <x:c r="F17" s="30"/>
      <x:c r="G17" s="30"/>
      <x:c r="H17" s="30"/>
      <x:c r="I17" s="30"/>
      <x:c r="J17" s="30"/>
      <x:c r="K17" s="30"/>
      <x:c r="L17" s="30"/>
      <x:c r="M17" s="47" t="str">
        <x:f>IF(G17="","",IF(G17="No",0,IF(G17="Unknown","Needs review",IF(COUNTA(H17:J17)&lt;3,"Incomplete",IF(OR(H17="Unknown",I17="Unknown",J17="Unknown"),"Needs review",IF(AND(H17="Yes",I17="Yes",J17="Yes"),3,IF(AND(H17="Yes",I17="Yes"),2,1)))))))</x:f>
      </x:c>
      <x:c r="N17" s="47" t="str">
        <x:f>IF(ISNUMBER(M17),CHOOSE(M17+1,"Absent/not considered","Informal or ad hoc","Documented and implemented","Managed and reviewed"),M17)</x:f>
      </x:c>
      <x:c r="O17" s="30"/>
    </x:row>
    <x:row r="18" ht="92" customHeight="1">
      <x:c r="A18" s="47" t="str">
        <x:v>Q11</x:v>
      </x:c>
      <x:c r="B18" s="47" t="str">
        <x:f>VLOOKUP(A18,'Question Guide'!$A$5:$L$16,2,FALSE)</x:f>
        <x:v>People and policy</x:v>
      </x:c>
      <x:c r="C18" s="47" t="str">
        <x:f>VLOOKUP(A18,'Question Guide'!$A$5:$L$16,3,FALSE)</x:f>
        <x:v>What guidance or training have employees received about responsible and secure AI use?</x:v>
      </x:c>
      <x:c r="D18" s="47" t="str">
        <x:f>VLOOKUP(A18,'Question Guide'!$A$5:$L$16,4,FALSE)</x:f>
        <x:v>Is it required? Does it cover approved tools, data, verification, disclosure, and reporting? How is it updated?</x:v>
      </x:c>
      <x:c r="E18" s="47" t="str">
        <x:f>VLOOKUP(A18,'Question Guide'!$A$5:$L$16,5,FALSE)</x:f>
        <x:v>Employees receive role-relevant AI policy, guidance, and awareness that are maintained as risks and use cases change.</x:v>
      </x:c>
      <x:c r="F18" s="30"/>
      <x:c r="G18" s="30"/>
      <x:c r="H18" s="30"/>
      <x:c r="I18" s="30"/>
      <x:c r="J18" s="30"/>
      <x:c r="K18" s="30"/>
      <x:c r="L18" s="30"/>
      <x:c r="M18" s="47" t="str">
        <x:f>IF(G18="","",IF(G18="No",0,IF(G18="Unknown","Needs review",IF(COUNTA(H18:J18)&lt;3,"Incomplete",IF(OR(H18="Unknown",I18="Unknown",J18="Unknown"),"Needs review",IF(AND(H18="Yes",I18="Yes",J18="Yes"),3,IF(AND(H18="Yes",I18="Yes"),2,1)))))))</x:f>
      </x:c>
      <x:c r="N18" s="47" t="str">
        <x:f>IF(ISNUMBER(M18),CHOOSE(M18+1,"Absent/not considered","Informal or ad hoc","Documented and implemented","Managed and reviewed"),M18)</x:f>
      </x:c>
      <x:c r="O18" s="30"/>
    </x:row>
    <x:row r="19" ht="92" customHeight="1">
      <x:c r="A19" s="47" t="str">
        <x:v>Q12</x:v>
      </x:c>
      <x:c r="B19" s="47" t="str">
        <x:f>VLOOKUP(A19,'Question Guide'!$A$5:$L$16,2,FALSE)</x:f>
        <x:v>Barriers and support</x:v>
      </x:c>
      <x:c r="C19" s="47" t="str">
        <x:f>VLOOKUP(A19,'Question Guide'!$A$5:$L$16,3,FALSE)</x:f>
        <x:v>What makes AI governance or cybersecurity difficult for your company, and what practical support would help?</x:v>
      </x:c>
      <x:c r="D19" s="47" t="str">
        <x:f>VLOOKUP(A19,'Question Guide'!$A$5:$L$16,4,FALSE)</x:f>
        <x:v>Probe for cost, time, skills, leadership priority, vendor information, unclear guidance, templates, training, assessments, or specialist advice.</x:v>
      </x:c>
      <x:c r="E19" s="47" t="str">
        <x:f>VLOOKUP(A19,'Question Guide'!$A$5:$L$16,5,FALSE)</x:f>
        <x:v>Qualitative context is collected to explain readiness results and identify practical support needs.</x:v>
      </x:c>
      <x:c r="F19" s="30"/>
      <x:c r="G19" s="64" t="str">
        <x:v>N/A</x:v>
      </x:c>
      <x:c r="H19" s="64" t="str">
        <x:v>N/A</x:v>
      </x:c>
      <x:c r="I19" s="64" t="str">
        <x:v>N/A</x:v>
      </x:c>
      <x:c r="J19" s="64" t="str">
        <x:v>N/A</x:v>
      </x:c>
      <x:c r="K19" s="30"/>
      <x:c r="L19" s="30"/>
      <x:c r="M19" s="65" t="str">
        <x:v>N/A</x:v>
      </x:c>
      <x:c r="N19" s="65" t="str">
        <x:v>Qualitative question — not scored</x:v>
      </x:c>
      <x:c r="O19" s="30"/>
    </x:row>
  </x:sheetData>
  <x:mergeCells>
    <x:mergeCell ref="A1:O1"/>
    <x:mergeCell ref="A5:O5"/>
  </x:mergeCells>
  <x:conditionalFormatting sqref="M8:M18">
    <x:cfRule type="cellIs" dxfId="4" priority="1" operator="equal">
      <x:formula>0</x:formula>
    </x:cfRule>
    <x:cfRule type="cellIs" dxfId="5" priority="2" operator="equal">
      <x:formula>1</x:formula>
    </x:cfRule>
    <x:cfRule type="cellIs" dxfId="6" priority="3" operator="equal">
      <x:formula>2</x:formula>
    </x:cfRule>
    <x:cfRule type="cellIs" dxfId="7" priority="4" operator="equal">
      <x:formula>3</x:formula>
    </x:cfRule>
  </x:conditionalFormatting>
  <x:dataValidations count="11">
    <x:dataValidation type="list" sqref="B2">
      <x:formula1>"SAIA,SCCCI,Both"</x:formula1>
    </x:dataValidation>
    <x:dataValidation type="list" sqref="F2">
      <x:formula1>"1–9,10–49,50–99,100–199,200+"</x:formula1>
    </x:dataValidation>
    <x:dataValidation type="list" sqref="H2">
      <x:formula1>"Exploring,Piloting,Operational use"</x:formula1>
    </x:dataValidation>
    <x:dataValidation type="list" sqref="D3">
      <x:formula1>"Lower,Moderate,Higher,To be assessed"</x:formula1>
    </x:dataValidation>
    <x:dataValidation type="list" sqref="H3">
      <x:formula1>"Yes,No"</x:formula1>
    </x:dataValidation>
    <x:dataValidation type="list" sqref="G8:G18">
      <x:formula1>"Yes,No,Unknown"</x:formula1>
    </x:dataValidation>
    <x:dataValidation type="list" sqref="H8:H18">
      <x:formula1>"Yes,No,Unknown"</x:formula1>
    </x:dataValidation>
    <x:dataValidation type="list" sqref="I8:I18">
      <x:formula1>"Yes,No,Unknown"</x:formula1>
    </x:dataValidation>
    <x:dataValidation type="list" sqref="J8:J18">
      <x:formula1>"Yes,No,Unknown"</x:formula1>
    </x:dataValidation>
    <x:dataValidation type="list" sqref="K8:K19">
      <x:formula1>"Statement only,Specific example described,Document described,Document observed,System evidence observed"</x:formula1>
    </x:dataValidation>
    <x:dataValidation type="list" sqref="L8:L19">
      <x:formula1>"Low,Medium,High"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4" hidden="0" customWidth="1"/>
    <x:col min="3" max="3" width="42" hidden="0" customWidth="1"/>
    <x:col min="4" max="4" width="43" hidden="0" customWidth="1"/>
    <x:col min="5" max="5" width="44" hidden="0" customWidth="1"/>
    <x:col min="6" max="6" width="58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24" hidden="0" customWidth="1"/>
    <x:col min="12" max="12" width="14" hidden="0" customWidth="1"/>
    <x:col min="13" max="13" width="14" hidden="0" customWidth="1"/>
    <x:col min="14" max="14" width="31" hidden="0" customWidth="1"/>
    <x:col min="15" max="15" width="36" hidden="0" customWidth="1"/>
  </x:cols>
  <x:sheetData>
    <x:row r="1" ht="36" customHeight="1">
      <x:c r="A1" s="3" t="str">
        <x:v>SME-03 — AI governance and cybersecurity interview form</x:v>
      </x:c>
      <x:c r="B1" s="3" t="str">
        <x:v>SME-03 — AI governance and cybersecurity interview form</x:v>
      </x:c>
      <x:c r="C1" s="3" t="str">
        <x:v>SME-03 — AI governance and cybersecurity interview form</x:v>
      </x:c>
      <x:c r="D1" s="3" t="str">
        <x:v>SME-03 — AI governance and cybersecurity interview form</x:v>
      </x:c>
      <x:c r="E1" s="3" t="str">
        <x:v>SME-03 — AI governance and cybersecurity interview form</x:v>
      </x:c>
      <x:c r="F1" s="3" t="str">
        <x:v>SME-03 — AI governance and cybersecurity interview form</x:v>
      </x:c>
      <x:c r="G1" s="3" t="str">
        <x:v>SME-03 — AI governance and cybersecurity interview form</x:v>
      </x:c>
      <x:c r="H1" s="3" t="str">
        <x:v>SME-03 — AI governance and cybersecurity interview form</x:v>
      </x:c>
      <x:c r="I1" s="3" t="str">
        <x:v>SME-03 — AI governance and cybersecurity interview form</x:v>
      </x:c>
      <x:c r="J1" s="3" t="str">
        <x:v>SME-03 — AI governance and cybersecurity interview form</x:v>
      </x:c>
      <x:c r="K1" s="3" t="str">
        <x:v>SME-03 — AI governance and cybersecurity interview form</x:v>
      </x:c>
      <x:c r="L1" s="3" t="str">
        <x:v>SME-03 — AI governance and cybersecurity interview form</x:v>
      </x:c>
      <x:c r="M1" s="3" t="str">
        <x:v>SME-03 — AI governance and cybersecurity interview form</x:v>
      </x:c>
      <x:c r="N1" s="3" t="str">
        <x:v>SME-03 — AI governance and cybersecurity interview form</x:v>
      </x:c>
      <x:c r="O1" s="3" t="str">
        <x:v>SME-03 — AI governance and cybersecurity interview form</x:v>
      </x:c>
    </x:row>
    <x:row r="2">
      <x:c r="A2" s="51" t="str">
        <x:v>Recruitment channel</x:v>
      </x:c>
      <x:c r="B2" s="27" t="str"/>
      <x:c r="C2" s="51" t="str">
        <x:v>Sector</x:v>
      </x:c>
      <x:c r="D2" s="27" t="str"/>
      <x:c r="E2" s="51" t="str">
        <x:v>Employee range</x:v>
      </x:c>
      <x:c r="F2" s="27" t="str"/>
      <x:c r="G2" s="51" t="str">
        <x:v>AI adoption stage</x:v>
      </x:c>
      <x:c r="H2" s="27" t="str"/>
      <x:c r="I2" s="51" t="str">
        <x:v>Interview date</x:v>
      </x:c>
      <x:c r="J2" s="53" t="str"/>
    </x:row>
    <x:row r="3">
      <x:c r="A3" s="52" t="str">
        <x:v>Primary GenAI use case</x:v>
      </x:c>
      <x:c r="B3" s="30" t="str"/>
      <x:c r="C3" s="52" t="str">
        <x:v>Risk exposure</x:v>
      </x:c>
      <x:c r="D3" s="30" t="str"/>
      <x:c r="E3" s="52" t="str">
        <x:v>Respondent role</x:v>
      </x:c>
      <x:c r="F3" s="30" t="str"/>
      <x:c r="G3" s="52" t="str">
        <x:v>Consent confirmed?</x:v>
      </x:c>
      <x:c r="H3" s="30" t="str"/>
      <x:c r="I3" s="52" t="str">
        <x:v>Interviewer</x:v>
      </x:c>
      <x:c r="J3" s="30" t="str">
        <x:v>Maria Singh</x:v>
      </x:c>
    </x:row>
    <x:row r="5" ht="38" customHeight="1">
      <x:c r="A5" s="43" t="str">
        <x:v>During the interview: ask the question naturally and record the answer. After the answer: code the four evidence checks using the Question Guide. Yellow = your input; green/gray = automatic or fixed.</x:v>
      </x:c>
      <x:c r="B5" s="43" t="str">
        <x:v>During the interview: ask the question naturally and record the answer. After the answer: code the four evidence checks using the Question Guide. Yellow = your input; green/gray = automatic or fixed.</x:v>
      </x:c>
      <x:c r="C5" s="43" t="str">
        <x:v>During the interview: ask the question naturally and record the answer. After the answer: code the four evidence checks using the Question Guide. Yellow = your input; green/gray = automatic or fixed.</x:v>
      </x:c>
      <x:c r="D5" s="43" t="str">
        <x:v>During the interview: ask the question naturally and record the answer. After the answer: code the four evidence checks using the Question Guide. Yellow = your input; green/gray = automatic or fixed.</x:v>
      </x:c>
      <x:c r="E5" s="43" t="str">
        <x:v>During the interview: ask the question naturally and record the answer. After the answer: code the four evidence checks using the Question Guide. Yellow = your input; green/gray = automatic or fixed.</x:v>
      </x:c>
      <x:c r="F5" s="43" t="str">
        <x:v>During the interview: ask the question naturally and record the answer. After the answer: code the four evidence checks using the Question Guide. Yellow = your input; green/gray = automatic or fixed.</x:v>
      </x:c>
      <x:c r="G5" s="43" t="str">
        <x:v>During the interview: ask the question naturally and record the answer. After the answer: code the four evidence checks using the Question Guide. Yellow = your input; green/gray = automatic or fixed.</x:v>
      </x:c>
      <x:c r="H5" s="43" t="str">
        <x:v>During the interview: ask the question naturally and record the answer. After the answer: code the four evidence checks using the Question Guide. Yellow = your input; green/gray = automatic or fixed.</x:v>
      </x:c>
      <x:c r="I5" s="43" t="str">
        <x:v>During the interview: ask the question naturally and record the answer. After the answer: code the four evidence checks using the Question Guide. Yellow = your input; green/gray = automatic or fixed.</x:v>
      </x:c>
      <x:c r="J5" s="43" t="str">
        <x:v>During the interview: ask the question naturally and record the answer. After the answer: code the four evidence checks using the Question Guide. Yellow = your input; green/gray = automatic or fixed.</x:v>
      </x:c>
      <x:c r="K5" s="43" t="str">
        <x:v>During the interview: ask the question naturally and record the answer. After the answer: code the four evidence checks using the Question Guide. Yellow = your input; green/gray = automatic or fixed.</x:v>
      </x:c>
      <x:c r="L5" s="43" t="str">
        <x:v>During the interview: ask the question naturally and record the answer. After the answer: code the four evidence checks using the Question Guide. Yellow = your input; green/gray = automatic or fixed.</x:v>
      </x:c>
      <x:c r="M5" s="43" t="str">
        <x:v>During the interview: ask the question naturally and record the answer. After the answer: code the four evidence checks using the Question Guide. Yellow = your input; green/gray = automatic or fixed.</x:v>
      </x:c>
      <x:c r="N5" s="43" t="str">
        <x:v>During the interview: ask the question naturally and record the answer. After the answer: code the four evidence checks using the Question Guide. Yellow = your input; green/gray = automatic or fixed.</x:v>
      </x:c>
      <x:c r="O5" s="43" t="str">
        <x:v>During the interview: ask the question naturally and record the answer. After the answer: code the four evidence checks using the Question Guide. Yellow = your input; green/gray = automatic or fixed.</x:v>
      </x:c>
    </x:row>
    <x:row r="7" ht="48" customHeight="1">
      <x:c r="A7" s="12" t="str">
        <x:v>Q ID</x:v>
      </x:c>
      <x:c r="B7" s="13" t="str">
        <x:v>Domain</x:v>
      </x:c>
      <x:c r="C7" s="13" t="str">
        <x:v>Question to ask</x:v>
      </x:c>
      <x:c r="D7" s="13" t="str">
        <x:v>Suggested probes</x:v>
      </x:c>
      <x:c r="E7" s="13" t="str">
        <x:v>Control being measured</x:v>
      </x:c>
      <x:c r="F7" s="13" t="str">
        <x:v>Response/evidence notes</x:v>
      </x:c>
      <x:c r="G7" s="13" t="str">
        <x:v>Practice exists?</x:v>
      </x:c>
      <x:c r="H7" s="13" t="str">
        <x:v>Documented?</x:v>
      </x:c>
      <x:c r="I7" s="13" t="str">
        <x:v>Implemented?</x:v>
      </x:c>
      <x:c r="J7" s="13" t="str">
        <x:v>Reviewed?</x:v>
      </x:c>
      <x:c r="K7" s="13" t="str">
        <x:v>Evidence basis</x:v>
      </x:c>
      <x:c r="L7" s="13" t="str">
        <x:v>Confidence</x:v>
      </x:c>
      <x:c r="M7" s="13" t="str">
        <x:v>Auto score</x:v>
      </x:c>
      <x:c r="N7" s="13" t="str">
        <x:v>Score meaning</x:v>
      </x:c>
      <x:c r="O7" s="14" t="str">
        <x:v>Barrier/support notes</x:v>
      </x:c>
    </x:row>
    <x:row r="8" ht="92" customHeight="1">
      <x:c r="A8" s="46" t="str">
        <x:v>Q01</x:v>
      </x:c>
      <x:c r="B8" s="46" t="str">
        <x:f>VLOOKUP(A8,'Question Guide'!$A$5:$L$16,2,FALSE)</x:f>
        <x:v>AI use context</x:v>
      </x:c>
      <x:c r="C8" s="46" t="str">
        <x:f>VLOOKUP(A8,'Question Guide'!$A$5:$L$16,3,FALSE)</x:f>
        <x:v>What generative AI tools or use cases is your company exploring or using?</x:v>
      </x:c>
      <x:c r="D8" s="46" t="str">
        <x:f>VLOOKUP(A8,'Question Guide'!$A$5:$L$16,4,FALSE)</x:f>
        <x:v>Who uses them? For what process? What information is involved? When was the list last checked?</x:v>
      </x:c>
      <x:c r="E8" s="46" t="str">
        <x:f>VLOOKUP(A8,'Question Guide'!$A$5:$L$16,5,FALSE)</x:f>
        <x:v>AI use cases are identified, recorded, assigned an owner, and kept current.</x:v>
      </x:c>
      <x:c r="F8" s="27"/>
      <x:c r="G8" s="27"/>
      <x:c r="H8" s="27"/>
      <x:c r="I8" s="27"/>
      <x:c r="J8" s="27"/>
      <x:c r="K8" s="27"/>
      <x:c r="L8" s="27"/>
      <x:c r="M8" s="46" t="str">
        <x:f>IF(G8="","",IF(G8="No",0,IF(G8="Unknown","Needs review",IF(COUNTA(H8:J8)&lt;3,"Incomplete",IF(OR(H8="Unknown",I8="Unknown",J8="Unknown"),"Needs review",IF(AND(H8="Yes",I8="Yes",J8="Yes"),3,IF(AND(H8="Yes",I8="Yes"),2,1)))))))</x:f>
      </x:c>
      <x:c r="N8" s="46" t="str">
        <x:f>IF(ISNUMBER(M8),CHOOSE(M8+1,"Absent/not considered","Informal or ad hoc","Documented and implemented","Managed and reviewed"),M8)</x:f>
      </x:c>
      <x:c r="O8" s="27"/>
    </x:row>
    <x:row r="9" ht="92" customHeight="1">
      <x:c r="A9" s="47" t="str">
        <x:v>Q02</x:v>
      </x:c>
      <x:c r="B9" s="47" t="str">
        <x:f>VLOOKUP(A9,'Question Guide'!$A$5:$L$16,2,FALSE)</x:f>
        <x:v>Accountability and governance</x:v>
      </x:c>
      <x:c r="C9" s="47" t="str">
        <x:f>VLOOKUP(A9,'Question Guide'!$A$5:$L$16,3,FALSE)</x:f>
        <x:v>Who is responsible for approving and overseeing AI use?</x:v>
      </x:c>
      <x:c r="D9" s="47" t="str">
        <x:f>VLOOKUP(A9,'Question Guide'!$A$5:$L$16,4,FALSE)</x:f>
        <x:v>Who can approve, stop, or change a use case? When was this authority last used?</x:v>
      </x:c>
      <x:c r="E9" s="47" t="str">
        <x:f>VLOOKUP(A9,'Question Guide'!$A$5:$L$16,5,FALSE)</x:f>
        <x:v>AI decision rights, ownership, approval, and escalation responsibilities are assigned.</x:v>
      </x:c>
      <x:c r="F9" s="30"/>
      <x:c r="G9" s="30"/>
      <x:c r="H9" s="30"/>
      <x:c r="I9" s="30"/>
      <x:c r="J9" s="30"/>
      <x:c r="K9" s="30"/>
      <x:c r="L9" s="30"/>
      <x:c r="M9" s="47" t="str">
        <x:f>IF(G9="","",IF(G9="No",0,IF(G9="Unknown","Needs review",IF(COUNTA(H9:J9)&lt;3,"Incomplete",IF(OR(H9="Unknown",I9="Unknown",J9="Unknown"),"Needs review",IF(AND(H9="Yes",I9="Yes",J9="Yes"),3,IF(AND(H9="Yes",I9="Yes"),2,1)))))))</x:f>
      </x:c>
      <x:c r="N9" s="47" t="str">
        <x:f>IF(ISNUMBER(M9),CHOOSE(M9+1,"Absent/not considered","Informal or ad hoc","Documented and implemented","Managed and reviewed"),M9)</x:f>
      </x:c>
      <x:c r="O9" s="30"/>
    </x:row>
    <x:row r="10" ht="92" customHeight="1">
      <x:c r="A10" s="47" t="str">
        <x:v>Q03</x:v>
      </x:c>
      <x:c r="B10" s="47" t="str">
        <x:f>VLOOKUP(A10,'Question Guide'!$A$5:$L$16,2,FALSE)</x:f>
        <x:v>Accountability and governance</x:v>
      </x:c>
      <x:c r="C10" s="47" t="str">
        <x:f>VLOOKUP(A10,'Question Guide'!$A$5:$L$16,3,FALSE)</x:f>
        <x:v>Before an AI use case is approved, what risks does the company consider?</x:v>
      </x:c>
      <x:c r="D10" s="47" t="str">
        <x:f>VLOOKUP(A10,'Question Guide'!$A$5:$L$16,4,FALSE)</x:f>
        <x:v>Describe the most recent review. Were sensitive data, customer impact, autonomy, accuracy, and consequences considered?</x:v>
      </x:c>
      <x:c r="E10" s="47" t="str">
        <x:f>VLOOKUP(A10,'Question Guide'!$A$5:$L$16,5,FALSE)</x:f>
        <x:v>AI use cases undergo a risk review before approval and when material changes occur.</x:v>
      </x:c>
      <x:c r="F10" s="30"/>
      <x:c r="G10" s="30"/>
      <x:c r="H10" s="30"/>
      <x:c r="I10" s="30"/>
      <x:c r="J10" s="30"/>
      <x:c r="K10" s="30"/>
      <x:c r="L10" s="30"/>
      <x:c r="M10" s="47" t="str">
        <x:f>IF(G10="","",IF(G10="No",0,IF(G10="Unknown","Needs review",IF(COUNTA(H10:J10)&lt;3,"Incomplete",IF(OR(H10="Unknown",I10="Unknown",J10="Unknown"),"Needs review",IF(AND(H10="Yes",I10="Yes",J10="Yes"),3,IF(AND(H10="Yes",I10="Yes"),2,1)))))))</x:f>
      </x:c>
      <x:c r="N10" s="47" t="str">
        <x:f>IF(ISNUMBER(M10),CHOOSE(M10+1,"Absent/not considered","Informal or ad hoc","Documented and implemented","Managed and reviewed"),M10)</x:f>
      </x:c>
      <x:c r="O10" s="30"/>
    </x:row>
    <x:row r="11" ht="92" customHeight="1">
      <x:c r="A11" s="47" t="str">
        <x:v>Q04</x:v>
      </x:c>
      <x:c r="B11" s="47" t="str">
        <x:f>VLOOKUP(A11,'Question Guide'!$A$5:$L$16,2,FALSE)</x:f>
        <x:v>Data protection</x:v>
      </x:c>
      <x:c r="C11" s="47" t="str">
        <x:f>VLOOKUP(A11,'Question Guide'!$A$5:$L$16,3,FALSE)</x:f>
        <x:v>What information may or may not be entered into generative AI tools?</x:v>
      </x:c>
      <x:c r="D11" s="47" t="str">
        <x:f>VLOOKUP(A11,'Question Guide'!$A$5:$L$16,4,FALSE)</x:f>
        <x:v>How do employees know? Are customer, employee, financial, confidential, or regulated data addressed?</x:v>
      </x:c>
      <x:c r="E11" s="47" t="str">
        <x:f>VLOOKUP(A11,'Question Guide'!$A$5:$L$16,5,FALSE)</x:f>
        <x:v>Rules govern the data employees may enter into AI tools and how AI-generated information may be handled.</x:v>
      </x:c>
      <x:c r="F11" s="30"/>
      <x:c r="G11" s="30"/>
      <x:c r="H11" s="30"/>
      <x:c r="I11" s="30"/>
      <x:c r="J11" s="30"/>
      <x:c r="K11" s="30"/>
      <x:c r="L11" s="30"/>
      <x:c r="M11" s="47" t="str">
        <x:f>IF(G11="","",IF(G11="No",0,IF(G11="Unknown","Needs review",IF(COUNTA(H11:J11)&lt;3,"Incomplete",IF(OR(H11="Unknown",I11="Unknown",J11="Unknown"),"Needs review",IF(AND(H11="Yes",I11="Yes",J11="Yes"),3,IF(AND(H11="Yes",I11="Yes"),2,1)))))))</x:f>
      </x:c>
      <x:c r="N11" s="47" t="str">
        <x:f>IF(ISNUMBER(M11),CHOOSE(M11+1,"Absent/not considered","Informal or ad hoc","Documented and implemented","Managed and reviewed"),M11)</x:f>
      </x:c>
      <x:c r="O11" s="30"/>
    </x:row>
    <x:row r="12" ht="92" customHeight="1">
      <x:c r="A12" s="47" t="str">
        <x:v>Q05</x:v>
      </x:c>
      <x:c r="B12" s="47" t="str">
        <x:f>VLOOKUP(A12,'Question Guide'!$A$5:$L$16,2,FALSE)</x:f>
        <x:v>Third-party management</x:v>
      </x:c>
      <x:c r="C12" s="47" t="str">
        <x:f>VLOOKUP(A12,'Question Guide'!$A$5:$L$16,3,FALSE)</x:f>
        <x:v>How do you decide whether an AI vendor or tool is trustworthy enough to use?</x:v>
      </x:c>
      <x:c r="D12" s="47" t="str">
        <x:f>VLOOKUP(A12,'Question Guide'!$A$5:$L$16,4,FALSE)</x:f>
        <x:v>Do you examine retention, model training, security, subcontractors, location, incident terms, and contracts?</x:v>
      </x:c>
      <x:c r="E12" s="47" t="str">
        <x:f>VLOOKUP(A12,'Question Guide'!$A$5:$L$16,5,FALSE)</x:f>
        <x:v>AI vendors receive risk-based security, privacy, data-use, and contractual review before and during use.</x:v>
      </x:c>
      <x:c r="F12" s="30"/>
      <x:c r="G12" s="30"/>
      <x:c r="H12" s="30"/>
      <x:c r="I12" s="30"/>
      <x:c r="J12" s="30"/>
      <x:c r="K12" s="30"/>
      <x:c r="L12" s="30"/>
      <x:c r="M12" s="47" t="str">
        <x:f>IF(G12="","",IF(G12="No",0,IF(G12="Unknown","Needs review",IF(COUNTA(H12:J12)&lt;3,"Incomplete",IF(OR(H12="Unknown",I12="Unknown",J12="Unknown"),"Needs review",IF(AND(H12="Yes",I12="Yes",J12="Yes"),3,IF(AND(H12="Yes",I12="Yes"),2,1)))))))</x:f>
      </x:c>
      <x:c r="N12" s="47" t="str">
        <x:f>IF(ISNUMBER(M12),CHOOSE(M12+1,"Absent/not considered","Informal or ad hoc","Documented and implemented","Managed and reviewed"),M12)</x:f>
      </x:c>
      <x:c r="O12" s="30"/>
    </x:row>
    <x:row r="13" ht="92" customHeight="1">
      <x:c r="A13" s="47" t="str">
        <x:v>Q06</x:v>
      </x:c>
      <x:c r="B13" s="47" t="str">
        <x:f>VLOOKUP(A13,'Question Guide'!$A$5:$L$16,2,FALSE)</x:f>
        <x:v>Access and integration security</x:v>
      </x:c>
      <x:c r="C13" s="47" t="str">
        <x:f>VLOOKUP(A13,'Question Guide'!$A$5:$L$16,3,FALSE)</x:f>
        <x:v>How is access to AI tools and connected company systems managed?</x:v>
      </x:c>
      <x:c r="D13" s="47" t="str">
        <x:f>VLOOKUP(A13,'Question Guide'!$A$5:$L$16,4,FALSE)</x:f>
        <x:v>Are accounts shared? Is MFA used? What data can the tool retrieve? What actions can it take? What happens when someone leaves?</x:v>
      </x:c>
      <x:c r="E13" s="47" t="str">
        <x:f>VLOOKUP(A13,'Question Guide'!$A$5:$L$16,5,FALSE)</x:f>
        <x:v>AI access and integrations use individual identity, least privilege, controlled permissions, and timely removal.</x:v>
      </x:c>
      <x:c r="F13" s="30"/>
      <x:c r="G13" s="30"/>
      <x:c r="H13" s="30"/>
      <x:c r="I13" s="30"/>
      <x:c r="J13" s="30"/>
      <x:c r="K13" s="30"/>
      <x:c r="L13" s="30"/>
      <x:c r="M13" s="47" t="str">
        <x:f>IF(G13="","",IF(G13="No",0,IF(G13="Unknown","Needs review",IF(COUNTA(H13:J13)&lt;3,"Incomplete",IF(OR(H13="Unknown",I13="Unknown",J13="Unknown"),"Needs review",IF(AND(H13="Yes",I13="Yes",J13="Yes"),3,IF(AND(H13="Yes",I13="Yes"),2,1)))))))</x:f>
      </x:c>
      <x:c r="N13" s="47" t="str">
        <x:f>IF(ISNUMBER(M13),CHOOSE(M13+1,"Absent/not considered","Informal or ad hoc","Documented and implemented","Managed and reviewed"),M13)</x:f>
      </x:c>
      <x:c r="O13" s="30"/>
    </x:row>
    <x:row r="14" ht="92" customHeight="1">
      <x:c r="A14" s="47" t="str">
        <x:v>Q07</x:v>
      </x:c>
      <x:c r="B14" s="47" t="str">
        <x:f>VLOOKUP(A14,'Question Guide'!$A$5:$L$16,2,FALSE)</x:f>
        <x:v>Human oversight</x:v>
      </x:c>
      <x:c r="C14" s="47" t="str">
        <x:f>VLOOKUP(A14,'Question Guide'!$A$5:$L$16,3,FALSE)</x:f>
        <x:v>Which AI-generated outputs or actions require human review?</x:v>
      </x:c>
      <x:c r="D14" s="47" t="str">
        <x:f>VLOOKUP(A14,'Question Guide'!$A$5:$L$16,4,FALSE)</x:f>
        <x:v>Who reviews them? What are they checking? What happens when confidence is low or a customer may be affected?</x:v>
      </x:c>
      <x:c r="E14" s="47" t="str">
        <x:f>VLOOKUP(A14,'Question Guide'!$A$5:$L$16,5,FALSE)</x:f>
        <x:v>Risk-based human review, decision authority, override, and escalation are defined for consequential AI outputs or actions.</x:v>
      </x:c>
      <x:c r="F14" s="30"/>
      <x:c r="G14" s="30"/>
      <x:c r="H14" s="30"/>
      <x:c r="I14" s="30"/>
      <x:c r="J14" s="30"/>
      <x:c r="K14" s="30"/>
      <x:c r="L14" s="30"/>
      <x:c r="M14" s="47" t="str">
        <x:f>IF(G14="","",IF(G14="No",0,IF(G14="Unknown","Needs review",IF(COUNTA(H14:J14)&lt;3,"Incomplete",IF(OR(H14="Unknown",I14="Unknown",J14="Unknown"),"Needs review",IF(AND(H14="Yes",I14="Yes",J14="Yes"),3,IF(AND(H14="Yes",I14="Yes"),2,1)))))))</x:f>
      </x:c>
      <x:c r="N14" s="47" t="str">
        <x:f>IF(ISNUMBER(M14),CHOOSE(M14+1,"Absent/not considered","Informal or ad hoc","Documented and implemented","Managed and reviewed"),M14)</x:f>
      </x:c>
      <x:c r="O14" s="30"/>
    </x:row>
    <x:row r="15" ht="92" customHeight="1">
      <x:c r="A15" s="47" t="str">
        <x:v>Q08</x:v>
      </x:c>
      <x:c r="B15" s="47" t="str">
        <x:f>VLOOKUP(A15,'Question Guide'!$A$5:$L$16,2,FALSE)</x:f>
        <x:v>Testing and assurance</x:v>
      </x:c>
      <x:c r="C15" s="47" t="str">
        <x:f>VLOOKUP(A15,'Question Guide'!$A$5:$L$16,3,FALSE)</x:f>
        <x:v>How do you determine whether an AI system or output is accurate and reliable enough for its intended use?</x:v>
      </x:c>
      <x:c r="D15" s="47" t="str">
        <x:f>VLOOKUP(A15,'Question Guide'!$A$5:$L$16,4,FALSE)</x:f>
        <x:v>What was tested before use? Which failures matter? What acceptance level is required? Is testing repeated after change?</x:v>
      </x:c>
      <x:c r="E15" s="47" t="str">
        <x:f>VLOOKUP(A15,'Question Guide'!$A$5:$L$16,5,FALSE)</x:f>
        <x:v>AI use cases are tested against documented fitness, safety, security, and reliability criteria before use and after material change.</x:v>
      </x:c>
      <x:c r="F15" s="30"/>
      <x:c r="G15" s="30"/>
      <x:c r="H15" s="30"/>
      <x:c r="I15" s="30"/>
      <x:c r="J15" s="30"/>
      <x:c r="K15" s="30"/>
      <x:c r="L15" s="30"/>
      <x:c r="M15" s="47" t="str">
        <x:f>IF(G15="","",IF(G15="No",0,IF(G15="Unknown","Needs review",IF(COUNTA(H15:J15)&lt;3,"Incomplete",IF(OR(H15="Unknown",I15="Unknown",J15="Unknown"),"Needs review",IF(AND(H15="Yes",I15="Yes",J15="Yes"),3,IF(AND(H15="Yes",I15="Yes"),2,1)))))))</x:f>
      </x:c>
      <x:c r="N15" s="47" t="str">
        <x:f>IF(ISNUMBER(M15),CHOOSE(M15+1,"Absent/not considered","Informal or ad hoc","Documented and implemented","Managed and reviewed"),M15)</x:f>
      </x:c>
      <x:c r="O15" s="30"/>
    </x:row>
    <x:row r="16" ht="92" customHeight="1">
      <x:c r="A16" s="47" t="str">
        <x:v>Q09</x:v>
      </x:c>
      <x:c r="B16" s="47" t="str">
        <x:f>VLOOKUP(A16,'Question Guide'!$A$5:$L$16,2,FALSE)</x:f>
        <x:v>Monitoring and change</x:v>
      </x:c>
      <x:c r="C16" s="47" t="str">
        <x:f>VLOOKUP(A16,'Question Guide'!$A$5:$L$16,3,FALSE)</x:f>
        <x:v>After an AI use case goes live, how do you know it continues to operate safely and as intended?</x:v>
      </x:c>
      <x:c r="D16" s="47" t="str">
        <x:f>VLOOKUP(A16,'Question Guide'!$A$5:$L$16,4,FALSE)</x:f>
        <x:v>What is logged? Who reviews errors, complaints, vendor changes, unusual behavior, or declining quality?</x:v>
      </x:c>
      <x:c r="E16" s="47" t="str">
        <x:f>VLOOKUP(A16,'Question Guide'!$A$5:$L$16,5,FALSE)</x:f>
        <x:v>Operational AI use is monitored using assigned metrics, logs, issues, thresholds, and change triggers.</x:v>
      </x:c>
      <x:c r="F16" s="30"/>
      <x:c r="G16" s="30"/>
      <x:c r="H16" s="30"/>
      <x:c r="I16" s="30"/>
      <x:c r="J16" s="30"/>
      <x:c r="K16" s="30"/>
      <x:c r="L16" s="30"/>
      <x:c r="M16" s="47" t="str">
        <x:f>IF(G16="","",IF(G16="No",0,IF(G16="Unknown","Needs review",IF(COUNTA(H16:J16)&lt;3,"Incomplete",IF(OR(H16="Unknown",I16="Unknown",J16="Unknown"),"Needs review",IF(AND(H16="Yes",I16="Yes",J16="Yes"),3,IF(AND(H16="Yes",I16="Yes"),2,1)))))))</x:f>
      </x:c>
      <x:c r="N16" s="47" t="str">
        <x:f>IF(ISNUMBER(M16),CHOOSE(M16+1,"Absent/not considered","Informal or ad hoc","Documented and implemented","Managed and reviewed"),M16)</x:f>
      </x:c>
      <x:c r="O16" s="30"/>
    </x:row>
    <x:row r="17" ht="92" customHeight="1">
      <x:c r="A17" s="47" t="str">
        <x:v>Q10</x:v>
      </x:c>
      <x:c r="B17" s="47" t="str">
        <x:f>VLOOKUP(A17,'Question Guide'!$A$5:$L$16,2,FALSE)</x:f>
        <x:v>Incident response</x:v>
      </x:c>
      <x:c r="C17" s="47" t="str">
        <x:f>VLOOKUP(A17,'Question Guide'!$A$5:$L$16,3,FALSE)</x:f>
        <x:v>What would happen if an AI tool exposed sensitive information, produced harmful content, or took an unintended action?</x:v>
      </x:c>
      <x:c r="D17" s="47" t="str">
        <x:f>VLOOKUP(A17,'Question Guide'!$A$5:$L$16,4,FALSE)</x:f>
        <x:v>Who is notified? Can use be suspended? Is the vendor contacted? Has an AI scenario been exercised?</x:v>
      </x:c>
      <x:c r="E17" s="47" t="str">
        <x:f>VLOOKUP(A17,'Question Guide'!$A$5:$L$16,5,FALSE)</x:f>
        <x:v>AI-related events can be identified, contained, escalated, reported, investigated, and used to improve controls.</x:v>
      </x:c>
      <x:c r="F17" s="30"/>
      <x:c r="G17" s="30"/>
      <x:c r="H17" s="30"/>
      <x:c r="I17" s="30"/>
      <x:c r="J17" s="30"/>
      <x:c r="K17" s="30"/>
      <x:c r="L17" s="30"/>
      <x:c r="M17" s="47" t="str">
        <x:f>IF(G17="","",IF(G17="No",0,IF(G17="Unknown","Needs review",IF(COUNTA(H17:J17)&lt;3,"Incomplete",IF(OR(H17="Unknown",I17="Unknown",J17="Unknown"),"Needs review",IF(AND(H17="Yes",I17="Yes",J17="Yes"),3,IF(AND(H17="Yes",I17="Yes"),2,1)))))))</x:f>
      </x:c>
      <x:c r="N17" s="47" t="str">
        <x:f>IF(ISNUMBER(M17),CHOOSE(M17+1,"Absent/not considered","Informal or ad hoc","Documented and implemented","Managed and reviewed"),M17)</x:f>
      </x:c>
      <x:c r="O17" s="30"/>
    </x:row>
    <x:row r="18" ht="92" customHeight="1">
      <x:c r="A18" s="47" t="str">
        <x:v>Q11</x:v>
      </x:c>
      <x:c r="B18" s="47" t="str">
        <x:f>VLOOKUP(A18,'Question Guide'!$A$5:$L$16,2,FALSE)</x:f>
        <x:v>People and policy</x:v>
      </x:c>
      <x:c r="C18" s="47" t="str">
        <x:f>VLOOKUP(A18,'Question Guide'!$A$5:$L$16,3,FALSE)</x:f>
        <x:v>What guidance or training have employees received about responsible and secure AI use?</x:v>
      </x:c>
      <x:c r="D18" s="47" t="str">
        <x:f>VLOOKUP(A18,'Question Guide'!$A$5:$L$16,4,FALSE)</x:f>
        <x:v>Is it required? Does it cover approved tools, data, verification, disclosure, and reporting? How is it updated?</x:v>
      </x:c>
      <x:c r="E18" s="47" t="str">
        <x:f>VLOOKUP(A18,'Question Guide'!$A$5:$L$16,5,FALSE)</x:f>
        <x:v>Employees receive role-relevant AI policy, guidance, and awareness that are maintained as risks and use cases change.</x:v>
      </x:c>
      <x:c r="F18" s="30"/>
      <x:c r="G18" s="30"/>
      <x:c r="H18" s="30"/>
      <x:c r="I18" s="30"/>
      <x:c r="J18" s="30"/>
      <x:c r="K18" s="30"/>
      <x:c r="L18" s="30"/>
      <x:c r="M18" s="47" t="str">
        <x:f>IF(G18="","",IF(G18="No",0,IF(G18="Unknown","Needs review",IF(COUNTA(H18:J18)&lt;3,"Incomplete",IF(OR(H18="Unknown",I18="Unknown",J18="Unknown"),"Needs review",IF(AND(H18="Yes",I18="Yes",J18="Yes"),3,IF(AND(H18="Yes",I18="Yes"),2,1)))))))</x:f>
      </x:c>
      <x:c r="N18" s="47" t="str">
        <x:f>IF(ISNUMBER(M18),CHOOSE(M18+1,"Absent/not considered","Informal or ad hoc","Documented and implemented","Managed and reviewed"),M18)</x:f>
      </x:c>
      <x:c r="O18" s="30"/>
    </x:row>
    <x:row r="19" ht="92" customHeight="1">
      <x:c r="A19" s="47" t="str">
        <x:v>Q12</x:v>
      </x:c>
      <x:c r="B19" s="47" t="str">
        <x:f>VLOOKUP(A19,'Question Guide'!$A$5:$L$16,2,FALSE)</x:f>
        <x:v>Barriers and support</x:v>
      </x:c>
      <x:c r="C19" s="47" t="str">
        <x:f>VLOOKUP(A19,'Question Guide'!$A$5:$L$16,3,FALSE)</x:f>
        <x:v>What makes AI governance or cybersecurity difficult for your company, and what practical support would help?</x:v>
      </x:c>
      <x:c r="D19" s="47" t="str">
        <x:f>VLOOKUP(A19,'Question Guide'!$A$5:$L$16,4,FALSE)</x:f>
        <x:v>Probe for cost, time, skills, leadership priority, vendor information, unclear guidance, templates, training, assessments, or specialist advice.</x:v>
      </x:c>
      <x:c r="E19" s="47" t="str">
        <x:f>VLOOKUP(A19,'Question Guide'!$A$5:$L$16,5,FALSE)</x:f>
        <x:v>Qualitative context is collected to explain readiness results and identify practical support needs.</x:v>
      </x:c>
      <x:c r="F19" s="30"/>
      <x:c r="G19" s="64" t="str">
        <x:v>N/A</x:v>
      </x:c>
      <x:c r="H19" s="64" t="str">
        <x:v>N/A</x:v>
      </x:c>
      <x:c r="I19" s="64" t="str">
        <x:v>N/A</x:v>
      </x:c>
      <x:c r="J19" s="64" t="str">
        <x:v>N/A</x:v>
      </x:c>
      <x:c r="K19" s="30"/>
      <x:c r="L19" s="30"/>
      <x:c r="M19" s="65" t="str">
        <x:v>N/A</x:v>
      </x:c>
      <x:c r="N19" s="65" t="str">
        <x:v>Qualitative question — not scored</x:v>
      </x:c>
      <x:c r="O19" s="30"/>
    </x:row>
  </x:sheetData>
  <x:mergeCells>
    <x:mergeCell ref="A1:O1"/>
    <x:mergeCell ref="A5:O5"/>
  </x:mergeCells>
  <x:conditionalFormatting sqref="M8:M18">
    <x:cfRule type="cellIs" dxfId="8" priority="1" operator="equal">
      <x:formula>0</x:formula>
    </x:cfRule>
    <x:cfRule type="cellIs" dxfId="9" priority="2" operator="equal">
      <x:formula>1</x:formula>
    </x:cfRule>
    <x:cfRule type="cellIs" dxfId="10" priority="3" operator="equal">
      <x:formula>2</x:formula>
    </x:cfRule>
    <x:cfRule type="cellIs" dxfId="11" priority="4" operator="equal">
      <x:formula>3</x:formula>
    </x:cfRule>
  </x:conditionalFormatting>
  <x:dataValidations count="11">
    <x:dataValidation type="list" sqref="B2">
      <x:formula1>"SAIA,SCCCI,Both"</x:formula1>
    </x:dataValidation>
    <x:dataValidation type="list" sqref="F2">
      <x:formula1>"1–9,10–49,50–99,100–199,200+"</x:formula1>
    </x:dataValidation>
    <x:dataValidation type="list" sqref="H2">
      <x:formula1>"Exploring,Piloting,Operational use"</x:formula1>
    </x:dataValidation>
    <x:dataValidation type="list" sqref="D3">
      <x:formula1>"Lower,Moderate,Higher,To be assessed"</x:formula1>
    </x:dataValidation>
    <x:dataValidation type="list" sqref="H3">
      <x:formula1>"Yes,No"</x:formula1>
    </x:dataValidation>
    <x:dataValidation type="list" sqref="G8:G18">
      <x:formula1>"Yes,No,Unknown"</x:formula1>
    </x:dataValidation>
    <x:dataValidation type="list" sqref="H8:H18">
      <x:formula1>"Yes,No,Unknown"</x:formula1>
    </x:dataValidation>
    <x:dataValidation type="list" sqref="I8:I18">
      <x:formula1>"Yes,No,Unknown"</x:formula1>
    </x:dataValidation>
    <x:dataValidation type="list" sqref="J8:J18">
      <x:formula1>"Yes,No,Unknown"</x:formula1>
    </x:dataValidation>
    <x:dataValidation type="list" sqref="K8:K19">
      <x:formula1>"Statement only,Specific example described,Document described,Document observed,System evidence observed"</x:formula1>
    </x:dataValidation>
    <x:dataValidation type="list" sqref="L8:L19">
      <x:formula1>"Low,Medium,High"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4" hidden="0" customWidth="1"/>
    <x:col min="3" max="3" width="42" hidden="0" customWidth="1"/>
    <x:col min="4" max="4" width="43" hidden="0" customWidth="1"/>
    <x:col min="5" max="5" width="44" hidden="0" customWidth="1"/>
    <x:col min="6" max="6" width="58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24" hidden="0" customWidth="1"/>
    <x:col min="12" max="12" width="14" hidden="0" customWidth="1"/>
    <x:col min="13" max="13" width="14" hidden="0" customWidth="1"/>
    <x:col min="14" max="14" width="31" hidden="0" customWidth="1"/>
    <x:col min="15" max="15" width="36" hidden="0" customWidth="1"/>
  </x:cols>
  <x:sheetData>
    <x:row r="1" ht="36" customHeight="1">
      <x:c r="A1" s="3" t="str">
        <x:v>SME-04 — AI governance and cybersecurity interview form</x:v>
      </x:c>
      <x:c r="B1" s="3" t="str">
        <x:v>SME-04 — AI governance and cybersecurity interview form</x:v>
      </x:c>
      <x:c r="C1" s="3" t="str">
        <x:v>SME-04 — AI governance and cybersecurity interview form</x:v>
      </x:c>
      <x:c r="D1" s="3" t="str">
        <x:v>SME-04 — AI governance and cybersecurity interview form</x:v>
      </x:c>
      <x:c r="E1" s="3" t="str">
        <x:v>SME-04 — AI governance and cybersecurity interview form</x:v>
      </x:c>
      <x:c r="F1" s="3" t="str">
        <x:v>SME-04 — AI governance and cybersecurity interview form</x:v>
      </x:c>
      <x:c r="G1" s="3" t="str">
        <x:v>SME-04 — AI governance and cybersecurity interview form</x:v>
      </x:c>
      <x:c r="H1" s="3" t="str">
        <x:v>SME-04 — AI governance and cybersecurity interview form</x:v>
      </x:c>
      <x:c r="I1" s="3" t="str">
        <x:v>SME-04 — AI governance and cybersecurity interview form</x:v>
      </x:c>
      <x:c r="J1" s="3" t="str">
        <x:v>SME-04 — AI governance and cybersecurity interview form</x:v>
      </x:c>
      <x:c r="K1" s="3" t="str">
        <x:v>SME-04 — AI governance and cybersecurity interview form</x:v>
      </x:c>
      <x:c r="L1" s="3" t="str">
        <x:v>SME-04 — AI governance and cybersecurity interview form</x:v>
      </x:c>
      <x:c r="M1" s="3" t="str">
        <x:v>SME-04 — AI governance and cybersecurity interview form</x:v>
      </x:c>
      <x:c r="N1" s="3" t="str">
        <x:v>SME-04 — AI governance and cybersecurity interview form</x:v>
      </x:c>
      <x:c r="O1" s="3" t="str">
        <x:v>SME-04 — AI governance and cybersecurity interview form</x:v>
      </x:c>
    </x:row>
    <x:row r="2">
      <x:c r="A2" s="51" t="str">
        <x:v>Recruitment channel</x:v>
      </x:c>
      <x:c r="B2" s="27" t="str"/>
      <x:c r="C2" s="51" t="str">
        <x:v>Sector</x:v>
      </x:c>
      <x:c r="D2" s="27" t="str"/>
      <x:c r="E2" s="51" t="str">
        <x:v>Employee range</x:v>
      </x:c>
      <x:c r="F2" s="27" t="str"/>
      <x:c r="G2" s="51" t="str">
        <x:v>AI adoption stage</x:v>
      </x:c>
      <x:c r="H2" s="27" t="str"/>
      <x:c r="I2" s="51" t="str">
        <x:v>Interview date</x:v>
      </x:c>
      <x:c r="J2" s="53" t="str"/>
    </x:row>
    <x:row r="3">
      <x:c r="A3" s="52" t="str">
        <x:v>Primary GenAI use case</x:v>
      </x:c>
      <x:c r="B3" s="30" t="str"/>
      <x:c r="C3" s="52" t="str">
        <x:v>Risk exposure</x:v>
      </x:c>
      <x:c r="D3" s="30" t="str"/>
      <x:c r="E3" s="52" t="str">
        <x:v>Respondent role</x:v>
      </x:c>
      <x:c r="F3" s="30" t="str"/>
      <x:c r="G3" s="52" t="str">
        <x:v>Consent confirmed?</x:v>
      </x:c>
      <x:c r="H3" s="30" t="str"/>
      <x:c r="I3" s="52" t="str">
        <x:v>Interviewer</x:v>
      </x:c>
      <x:c r="J3" s="30" t="str">
        <x:v>Maria Singh</x:v>
      </x:c>
    </x:row>
    <x:row r="5" ht="38" customHeight="1">
      <x:c r="A5" s="43" t="str">
        <x:v>During the interview: ask the question naturally and record the answer. After the answer: code the four evidence checks using the Question Guide. Yellow = your input; green/gray = automatic or fixed.</x:v>
      </x:c>
      <x:c r="B5" s="43" t="str">
        <x:v>During the interview: ask the question naturally and record the answer. After the answer: code the four evidence checks using the Question Guide. Yellow = your input; green/gray = automatic or fixed.</x:v>
      </x:c>
      <x:c r="C5" s="43" t="str">
        <x:v>During the interview: ask the question naturally and record the answer. After the answer: code the four evidence checks using the Question Guide. Yellow = your input; green/gray = automatic or fixed.</x:v>
      </x:c>
      <x:c r="D5" s="43" t="str">
        <x:v>During the interview: ask the question naturally and record the answer. After the answer: code the four evidence checks using the Question Guide. Yellow = your input; green/gray = automatic or fixed.</x:v>
      </x:c>
      <x:c r="E5" s="43" t="str">
        <x:v>During the interview: ask the question naturally and record the answer. After the answer: code the four evidence checks using the Question Guide. Yellow = your input; green/gray = automatic or fixed.</x:v>
      </x:c>
      <x:c r="F5" s="43" t="str">
        <x:v>During the interview: ask the question naturally and record the answer. After the answer: code the four evidence checks using the Question Guide. Yellow = your input; green/gray = automatic or fixed.</x:v>
      </x:c>
      <x:c r="G5" s="43" t="str">
        <x:v>During the interview: ask the question naturally and record the answer. After the answer: code the four evidence checks using the Question Guide. Yellow = your input; green/gray = automatic or fixed.</x:v>
      </x:c>
      <x:c r="H5" s="43" t="str">
        <x:v>During the interview: ask the question naturally and record the answer. After the answer: code the four evidence checks using the Question Guide. Yellow = your input; green/gray = automatic or fixed.</x:v>
      </x:c>
      <x:c r="I5" s="43" t="str">
        <x:v>During the interview: ask the question naturally and record the answer. After the answer: code the four evidence checks using the Question Guide. Yellow = your input; green/gray = automatic or fixed.</x:v>
      </x:c>
      <x:c r="J5" s="43" t="str">
        <x:v>During the interview: ask the question naturally and record the answer. After the answer: code the four evidence checks using the Question Guide. Yellow = your input; green/gray = automatic or fixed.</x:v>
      </x:c>
      <x:c r="K5" s="43" t="str">
        <x:v>During the interview: ask the question naturally and record the answer. After the answer: code the four evidence checks using the Question Guide. Yellow = your input; green/gray = automatic or fixed.</x:v>
      </x:c>
      <x:c r="L5" s="43" t="str">
        <x:v>During the interview: ask the question naturally and record the answer. After the answer: code the four evidence checks using the Question Guide. Yellow = your input; green/gray = automatic or fixed.</x:v>
      </x:c>
      <x:c r="M5" s="43" t="str">
        <x:v>During the interview: ask the question naturally and record the answer. After the answer: code the four evidence checks using the Question Guide. Yellow = your input; green/gray = automatic or fixed.</x:v>
      </x:c>
      <x:c r="N5" s="43" t="str">
        <x:v>During the interview: ask the question naturally and record the answer. After the answer: code the four evidence checks using the Question Guide. Yellow = your input; green/gray = automatic or fixed.</x:v>
      </x:c>
      <x:c r="O5" s="43" t="str">
        <x:v>During the interview: ask the question naturally and record the answer. After the answer: code the four evidence checks using the Question Guide. Yellow = your input; green/gray = automatic or fixed.</x:v>
      </x:c>
    </x:row>
    <x:row r="7" ht="48" customHeight="1">
      <x:c r="A7" s="12" t="str">
        <x:v>Q ID</x:v>
      </x:c>
      <x:c r="B7" s="13" t="str">
        <x:v>Domain</x:v>
      </x:c>
      <x:c r="C7" s="13" t="str">
        <x:v>Question to ask</x:v>
      </x:c>
      <x:c r="D7" s="13" t="str">
        <x:v>Suggested probes</x:v>
      </x:c>
      <x:c r="E7" s="13" t="str">
        <x:v>Control being measured</x:v>
      </x:c>
      <x:c r="F7" s="13" t="str">
        <x:v>Response/evidence notes</x:v>
      </x:c>
      <x:c r="G7" s="13" t="str">
        <x:v>Practice exists?</x:v>
      </x:c>
      <x:c r="H7" s="13" t="str">
        <x:v>Documented?</x:v>
      </x:c>
      <x:c r="I7" s="13" t="str">
        <x:v>Implemented?</x:v>
      </x:c>
      <x:c r="J7" s="13" t="str">
        <x:v>Reviewed?</x:v>
      </x:c>
      <x:c r="K7" s="13" t="str">
        <x:v>Evidence basis</x:v>
      </x:c>
      <x:c r="L7" s="13" t="str">
        <x:v>Confidence</x:v>
      </x:c>
      <x:c r="M7" s="13" t="str">
        <x:v>Auto score</x:v>
      </x:c>
      <x:c r="N7" s="13" t="str">
        <x:v>Score meaning</x:v>
      </x:c>
      <x:c r="O7" s="14" t="str">
        <x:v>Barrier/support notes</x:v>
      </x:c>
    </x:row>
    <x:row r="8" ht="92" customHeight="1">
      <x:c r="A8" s="46" t="str">
        <x:v>Q01</x:v>
      </x:c>
      <x:c r="B8" s="46" t="str">
        <x:f>VLOOKUP(A8,'Question Guide'!$A$5:$L$16,2,FALSE)</x:f>
        <x:v>AI use context</x:v>
      </x:c>
      <x:c r="C8" s="46" t="str">
        <x:f>VLOOKUP(A8,'Question Guide'!$A$5:$L$16,3,FALSE)</x:f>
        <x:v>What generative AI tools or use cases is your company exploring or using?</x:v>
      </x:c>
      <x:c r="D8" s="46" t="str">
        <x:f>VLOOKUP(A8,'Question Guide'!$A$5:$L$16,4,FALSE)</x:f>
        <x:v>Who uses them? For what process? What information is involved? When was the list last checked?</x:v>
      </x:c>
      <x:c r="E8" s="46" t="str">
        <x:f>VLOOKUP(A8,'Question Guide'!$A$5:$L$16,5,FALSE)</x:f>
        <x:v>AI use cases are identified, recorded, assigned an owner, and kept current.</x:v>
      </x:c>
      <x:c r="F8" s="27"/>
      <x:c r="G8" s="27"/>
      <x:c r="H8" s="27"/>
      <x:c r="I8" s="27"/>
      <x:c r="J8" s="27"/>
      <x:c r="K8" s="27"/>
      <x:c r="L8" s="27"/>
      <x:c r="M8" s="46" t="str">
        <x:f>IF(G8="","",IF(G8="No",0,IF(G8="Unknown","Needs review",IF(COUNTA(H8:J8)&lt;3,"Incomplete",IF(OR(H8="Unknown",I8="Unknown",J8="Unknown"),"Needs review",IF(AND(H8="Yes",I8="Yes",J8="Yes"),3,IF(AND(H8="Yes",I8="Yes"),2,1)))))))</x:f>
      </x:c>
      <x:c r="N8" s="46" t="str">
        <x:f>IF(ISNUMBER(M8),CHOOSE(M8+1,"Absent/not considered","Informal or ad hoc","Documented and implemented","Managed and reviewed"),M8)</x:f>
      </x:c>
      <x:c r="O8" s="27"/>
    </x:row>
    <x:row r="9" ht="92" customHeight="1">
      <x:c r="A9" s="47" t="str">
        <x:v>Q02</x:v>
      </x:c>
      <x:c r="B9" s="47" t="str">
        <x:f>VLOOKUP(A9,'Question Guide'!$A$5:$L$16,2,FALSE)</x:f>
        <x:v>Accountability and governance</x:v>
      </x:c>
      <x:c r="C9" s="47" t="str">
        <x:f>VLOOKUP(A9,'Question Guide'!$A$5:$L$16,3,FALSE)</x:f>
        <x:v>Who is responsible for approving and overseeing AI use?</x:v>
      </x:c>
      <x:c r="D9" s="47" t="str">
        <x:f>VLOOKUP(A9,'Question Guide'!$A$5:$L$16,4,FALSE)</x:f>
        <x:v>Who can approve, stop, or change a use case? When was this authority last used?</x:v>
      </x:c>
      <x:c r="E9" s="47" t="str">
        <x:f>VLOOKUP(A9,'Question Guide'!$A$5:$L$16,5,FALSE)</x:f>
        <x:v>AI decision rights, ownership, approval, and escalation responsibilities are assigned.</x:v>
      </x:c>
      <x:c r="F9" s="30"/>
      <x:c r="G9" s="30"/>
      <x:c r="H9" s="30"/>
      <x:c r="I9" s="30"/>
      <x:c r="J9" s="30"/>
      <x:c r="K9" s="30"/>
      <x:c r="L9" s="30"/>
      <x:c r="M9" s="47" t="str">
        <x:f>IF(G9="","",IF(G9="No",0,IF(G9="Unknown","Needs review",IF(COUNTA(H9:J9)&lt;3,"Incomplete",IF(OR(H9="Unknown",I9="Unknown",J9="Unknown"),"Needs review",IF(AND(H9="Yes",I9="Yes",J9="Yes"),3,IF(AND(H9="Yes",I9="Yes"),2,1)))))))</x:f>
      </x:c>
      <x:c r="N9" s="47" t="str">
        <x:f>IF(ISNUMBER(M9),CHOOSE(M9+1,"Absent/not considered","Informal or ad hoc","Documented and implemented","Managed and reviewed"),M9)</x:f>
      </x:c>
      <x:c r="O9" s="30"/>
    </x:row>
    <x:row r="10" ht="92" customHeight="1">
      <x:c r="A10" s="47" t="str">
        <x:v>Q03</x:v>
      </x:c>
      <x:c r="B10" s="47" t="str">
        <x:f>VLOOKUP(A10,'Question Guide'!$A$5:$L$16,2,FALSE)</x:f>
        <x:v>Accountability and governance</x:v>
      </x:c>
      <x:c r="C10" s="47" t="str">
        <x:f>VLOOKUP(A10,'Question Guide'!$A$5:$L$16,3,FALSE)</x:f>
        <x:v>Before an AI use case is approved, what risks does the company consider?</x:v>
      </x:c>
      <x:c r="D10" s="47" t="str">
        <x:f>VLOOKUP(A10,'Question Guide'!$A$5:$L$16,4,FALSE)</x:f>
        <x:v>Describe the most recent review. Were sensitive data, customer impact, autonomy, accuracy, and consequences considered?</x:v>
      </x:c>
      <x:c r="E10" s="47" t="str">
        <x:f>VLOOKUP(A10,'Question Guide'!$A$5:$L$16,5,FALSE)</x:f>
        <x:v>AI use cases undergo a risk review before approval and when material changes occur.</x:v>
      </x:c>
      <x:c r="F10" s="30"/>
      <x:c r="G10" s="30"/>
      <x:c r="H10" s="30"/>
      <x:c r="I10" s="30"/>
      <x:c r="J10" s="30"/>
      <x:c r="K10" s="30"/>
      <x:c r="L10" s="30"/>
      <x:c r="M10" s="47" t="str">
        <x:f>IF(G10="","",IF(G10="No",0,IF(G10="Unknown","Needs review",IF(COUNTA(H10:J10)&lt;3,"Incomplete",IF(OR(H10="Unknown",I10="Unknown",J10="Unknown"),"Needs review",IF(AND(H10="Yes",I10="Yes",J10="Yes"),3,IF(AND(H10="Yes",I10="Yes"),2,1)))))))</x:f>
      </x:c>
      <x:c r="N10" s="47" t="str">
        <x:f>IF(ISNUMBER(M10),CHOOSE(M10+1,"Absent/not considered","Informal or ad hoc","Documented and implemented","Managed and reviewed"),M10)</x:f>
      </x:c>
      <x:c r="O10" s="30"/>
    </x:row>
    <x:row r="11" ht="92" customHeight="1">
      <x:c r="A11" s="47" t="str">
        <x:v>Q04</x:v>
      </x:c>
      <x:c r="B11" s="47" t="str">
        <x:f>VLOOKUP(A11,'Question Guide'!$A$5:$L$16,2,FALSE)</x:f>
        <x:v>Data protection</x:v>
      </x:c>
      <x:c r="C11" s="47" t="str">
        <x:f>VLOOKUP(A11,'Question Guide'!$A$5:$L$16,3,FALSE)</x:f>
        <x:v>What information may or may not be entered into generative AI tools?</x:v>
      </x:c>
      <x:c r="D11" s="47" t="str">
        <x:f>VLOOKUP(A11,'Question Guide'!$A$5:$L$16,4,FALSE)</x:f>
        <x:v>How do employees know? Are customer, employee, financial, confidential, or regulated data addressed?</x:v>
      </x:c>
      <x:c r="E11" s="47" t="str">
        <x:f>VLOOKUP(A11,'Question Guide'!$A$5:$L$16,5,FALSE)</x:f>
        <x:v>Rules govern the data employees may enter into AI tools and how AI-generated information may be handled.</x:v>
      </x:c>
      <x:c r="F11" s="30"/>
      <x:c r="G11" s="30"/>
      <x:c r="H11" s="30"/>
      <x:c r="I11" s="30"/>
      <x:c r="J11" s="30"/>
      <x:c r="K11" s="30"/>
      <x:c r="L11" s="30"/>
      <x:c r="M11" s="47" t="str">
        <x:f>IF(G11="","",IF(G11="No",0,IF(G11="Unknown","Needs review",IF(COUNTA(H11:J11)&lt;3,"Incomplete",IF(OR(H11="Unknown",I11="Unknown",J11="Unknown"),"Needs review",IF(AND(H11="Yes",I11="Yes",J11="Yes"),3,IF(AND(H11="Yes",I11="Yes"),2,1)))))))</x:f>
      </x:c>
      <x:c r="N11" s="47" t="str">
        <x:f>IF(ISNUMBER(M11),CHOOSE(M11+1,"Absent/not considered","Informal or ad hoc","Documented and implemented","Managed and reviewed"),M11)</x:f>
      </x:c>
      <x:c r="O11" s="30"/>
    </x:row>
    <x:row r="12" ht="92" customHeight="1">
      <x:c r="A12" s="47" t="str">
        <x:v>Q05</x:v>
      </x:c>
      <x:c r="B12" s="47" t="str">
        <x:f>VLOOKUP(A12,'Question Guide'!$A$5:$L$16,2,FALSE)</x:f>
        <x:v>Third-party management</x:v>
      </x:c>
      <x:c r="C12" s="47" t="str">
        <x:f>VLOOKUP(A12,'Question Guide'!$A$5:$L$16,3,FALSE)</x:f>
        <x:v>How do you decide whether an AI vendor or tool is trustworthy enough to use?</x:v>
      </x:c>
      <x:c r="D12" s="47" t="str">
        <x:f>VLOOKUP(A12,'Question Guide'!$A$5:$L$16,4,FALSE)</x:f>
        <x:v>Do you examine retention, model training, security, subcontractors, location, incident terms, and contracts?</x:v>
      </x:c>
      <x:c r="E12" s="47" t="str">
        <x:f>VLOOKUP(A12,'Question Guide'!$A$5:$L$16,5,FALSE)</x:f>
        <x:v>AI vendors receive risk-based security, privacy, data-use, and contractual review before and during use.</x:v>
      </x:c>
      <x:c r="F12" s="30"/>
      <x:c r="G12" s="30"/>
      <x:c r="H12" s="30"/>
      <x:c r="I12" s="30"/>
      <x:c r="J12" s="30"/>
      <x:c r="K12" s="30"/>
      <x:c r="L12" s="30"/>
      <x:c r="M12" s="47" t="str">
        <x:f>IF(G12="","",IF(G12="No",0,IF(G12="Unknown","Needs review",IF(COUNTA(H12:J12)&lt;3,"Incomplete",IF(OR(H12="Unknown",I12="Unknown",J12="Unknown"),"Needs review",IF(AND(H12="Yes",I12="Yes",J12="Yes"),3,IF(AND(H12="Yes",I12="Yes"),2,1)))))))</x:f>
      </x:c>
      <x:c r="N12" s="47" t="str">
        <x:f>IF(ISNUMBER(M12),CHOOSE(M12+1,"Absent/not considered","Informal or ad hoc","Documented and implemented","Managed and reviewed"),M12)</x:f>
      </x:c>
      <x:c r="O12" s="30"/>
    </x:row>
    <x:row r="13" ht="92" customHeight="1">
      <x:c r="A13" s="47" t="str">
        <x:v>Q06</x:v>
      </x:c>
      <x:c r="B13" s="47" t="str">
        <x:f>VLOOKUP(A13,'Question Guide'!$A$5:$L$16,2,FALSE)</x:f>
        <x:v>Access and integration security</x:v>
      </x:c>
      <x:c r="C13" s="47" t="str">
        <x:f>VLOOKUP(A13,'Question Guide'!$A$5:$L$16,3,FALSE)</x:f>
        <x:v>How is access to AI tools and connected company systems managed?</x:v>
      </x:c>
      <x:c r="D13" s="47" t="str">
        <x:f>VLOOKUP(A13,'Question Guide'!$A$5:$L$16,4,FALSE)</x:f>
        <x:v>Are accounts shared? Is MFA used? What data can the tool retrieve? What actions can it take? What happens when someone leaves?</x:v>
      </x:c>
      <x:c r="E13" s="47" t="str">
        <x:f>VLOOKUP(A13,'Question Guide'!$A$5:$L$16,5,FALSE)</x:f>
        <x:v>AI access and integrations use individual identity, least privilege, controlled permissions, and timely removal.</x:v>
      </x:c>
      <x:c r="F13" s="30"/>
      <x:c r="G13" s="30"/>
      <x:c r="H13" s="30"/>
      <x:c r="I13" s="30"/>
      <x:c r="J13" s="30"/>
      <x:c r="K13" s="30"/>
      <x:c r="L13" s="30"/>
      <x:c r="M13" s="47" t="str">
        <x:f>IF(G13="","",IF(G13="No",0,IF(G13="Unknown","Needs review",IF(COUNTA(H13:J13)&lt;3,"Incomplete",IF(OR(H13="Unknown",I13="Unknown",J13="Unknown"),"Needs review",IF(AND(H13="Yes",I13="Yes",J13="Yes"),3,IF(AND(H13="Yes",I13="Yes"),2,1)))))))</x:f>
      </x:c>
      <x:c r="N13" s="47" t="str">
        <x:f>IF(ISNUMBER(M13),CHOOSE(M13+1,"Absent/not considered","Informal or ad hoc","Documented and implemented","Managed and reviewed"),M13)</x:f>
      </x:c>
      <x:c r="O13" s="30"/>
    </x:row>
    <x:row r="14" ht="92" customHeight="1">
      <x:c r="A14" s="47" t="str">
        <x:v>Q07</x:v>
      </x:c>
      <x:c r="B14" s="47" t="str">
        <x:f>VLOOKUP(A14,'Question Guide'!$A$5:$L$16,2,FALSE)</x:f>
        <x:v>Human oversight</x:v>
      </x:c>
      <x:c r="C14" s="47" t="str">
        <x:f>VLOOKUP(A14,'Question Guide'!$A$5:$L$16,3,FALSE)</x:f>
        <x:v>Which AI-generated outputs or actions require human review?</x:v>
      </x:c>
      <x:c r="D14" s="47" t="str">
        <x:f>VLOOKUP(A14,'Question Guide'!$A$5:$L$16,4,FALSE)</x:f>
        <x:v>Who reviews them? What are they checking? What happens when confidence is low or a customer may be affected?</x:v>
      </x:c>
      <x:c r="E14" s="47" t="str">
        <x:f>VLOOKUP(A14,'Question Guide'!$A$5:$L$16,5,FALSE)</x:f>
        <x:v>Risk-based human review, decision authority, override, and escalation are defined for consequential AI outputs or actions.</x:v>
      </x:c>
      <x:c r="F14" s="30"/>
      <x:c r="G14" s="30"/>
      <x:c r="H14" s="30"/>
      <x:c r="I14" s="30"/>
      <x:c r="J14" s="30"/>
      <x:c r="K14" s="30"/>
      <x:c r="L14" s="30"/>
      <x:c r="M14" s="47" t="str">
        <x:f>IF(G14="","",IF(G14="No",0,IF(G14="Unknown","Needs review",IF(COUNTA(H14:J14)&lt;3,"Incomplete",IF(OR(H14="Unknown",I14="Unknown",J14="Unknown"),"Needs review",IF(AND(H14="Yes",I14="Yes",J14="Yes"),3,IF(AND(H14="Yes",I14="Yes"),2,1)))))))</x:f>
      </x:c>
      <x:c r="N14" s="47" t="str">
        <x:f>IF(ISNUMBER(M14),CHOOSE(M14+1,"Absent/not considered","Informal or ad hoc","Documented and implemented","Managed and reviewed"),M14)</x:f>
      </x:c>
      <x:c r="O14" s="30"/>
    </x:row>
    <x:row r="15" ht="92" customHeight="1">
      <x:c r="A15" s="47" t="str">
        <x:v>Q08</x:v>
      </x:c>
      <x:c r="B15" s="47" t="str">
        <x:f>VLOOKUP(A15,'Question Guide'!$A$5:$L$16,2,FALSE)</x:f>
        <x:v>Testing and assurance</x:v>
      </x:c>
      <x:c r="C15" s="47" t="str">
        <x:f>VLOOKUP(A15,'Question Guide'!$A$5:$L$16,3,FALSE)</x:f>
        <x:v>How do you determine whether an AI system or output is accurate and reliable enough for its intended use?</x:v>
      </x:c>
      <x:c r="D15" s="47" t="str">
        <x:f>VLOOKUP(A15,'Question Guide'!$A$5:$L$16,4,FALSE)</x:f>
        <x:v>What was tested before use? Which failures matter? What acceptance level is required? Is testing repeated after change?</x:v>
      </x:c>
      <x:c r="E15" s="47" t="str">
        <x:f>VLOOKUP(A15,'Question Guide'!$A$5:$L$16,5,FALSE)</x:f>
        <x:v>AI use cases are tested against documented fitness, safety, security, and reliability criteria before use and after material change.</x:v>
      </x:c>
      <x:c r="F15" s="30"/>
      <x:c r="G15" s="30"/>
      <x:c r="H15" s="30"/>
      <x:c r="I15" s="30"/>
      <x:c r="J15" s="30"/>
      <x:c r="K15" s="30"/>
      <x:c r="L15" s="30"/>
      <x:c r="M15" s="47" t="str">
        <x:f>IF(G15="","",IF(G15="No",0,IF(G15="Unknown","Needs review",IF(COUNTA(H15:J15)&lt;3,"Incomplete",IF(OR(H15="Unknown",I15="Unknown",J15="Unknown"),"Needs review",IF(AND(H15="Yes",I15="Yes",J15="Yes"),3,IF(AND(H15="Yes",I15="Yes"),2,1)))))))</x:f>
      </x:c>
      <x:c r="N15" s="47" t="str">
        <x:f>IF(ISNUMBER(M15),CHOOSE(M15+1,"Absent/not considered","Informal or ad hoc","Documented and implemented","Managed and reviewed"),M15)</x:f>
      </x:c>
      <x:c r="O15" s="30"/>
    </x:row>
    <x:row r="16" ht="92" customHeight="1">
      <x:c r="A16" s="47" t="str">
        <x:v>Q09</x:v>
      </x:c>
      <x:c r="B16" s="47" t="str">
        <x:f>VLOOKUP(A16,'Question Guide'!$A$5:$L$16,2,FALSE)</x:f>
        <x:v>Monitoring and change</x:v>
      </x:c>
      <x:c r="C16" s="47" t="str">
        <x:f>VLOOKUP(A16,'Question Guide'!$A$5:$L$16,3,FALSE)</x:f>
        <x:v>After an AI use case goes live, how do you know it continues to operate safely and as intended?</x:v>
      </x:c>
      <x:c r="D16" s="47" t="str">
        <x:f>VLOOKUP(A16,'Question Guide'!$A$5:$L$16,4,FALSE)</x:f>
        <x:v>What is logged? Who reviews errors, complaints, vendor changes, unusual behavior, or declining quality?</x:v>
      </x:c>
      <x:c r="E16" s="47" t="str">
        <x:f>VLOOKUP(A16,'Question Guide'!$A$5:$L$16,5,FALSE)</x:f>
        <x:v>Operational AI use is monitored using assigned metrics, logs, issues, thresholds, and change triggers.</x:v>
      </x:c>
      <x:c r="F16" s="30"/>
      <x:c r="G16" s="30"/>
      <x:c r="H16" s="30"/>
      <x:c r="I16" s="30"/>
      <x:c r="J16" s="30"/>
      <x:c r="K16" s="30"/>
      <x:c r="L16" s="30"/>
      <x:c r="M16" s="47" t="str">
        <x:f>IF(G16="","",IF(G16="No",0,IF(G16="Unknown","Needs review",IF(COUNTA(H16:J16)&lt;3,"Incomplete",IF(OR(H16="Unknown",I16="Unknown",J16="Unknown"),"Needs review",IF(AND(H16="Yes",I16="Yes",J16="Yes"),3,IF(AND(H16="Yes",I16="Yes"),2,1)))))))</x:f>
      </x:c>
      <x:c r="N16" s="47" t="str">
        <x:f>IF(ISNUMBER(M16),CHOOSE(M16+1,"Absent/not considered","Informal or ad hoc","Documented and implemented","Managed and reviewed"),M16)</x:f>
      </x:c>
      <x:c r="O16" s="30"/>
    </x:row>
    <x:row r="17" ht="92" customHeight="1">
      <x:c r="A17" s="47" t="str">
        <x:v>Q10</x:v>
      </x:c>
      <x:c r="B17" s="47" t="str">
        <x:f>VLOOKUP(A17,'Question Guide'!$A$5:$L$16,2,FALSE)</x:f>
        <x:v>Incident response</x:v>
      </x:c>
      <x:c r="C17" s="47" t="str">
        <x:f>VLOOKUP(A17,'Question Guide'!$A$5:$L$16,3,FALSE)</x:f>
        <x:v>What would happen if an AI tool exposed sensitive information, produced harmful content, or took an unintended action?</x:v>
      </x:c>
      <x:c r="D17" s="47" t="str">
        <x:f>VLOOKUP(A17,'Question Guide'!$A$5:$L$16,4,FALSE)</x:f>
        <x:v>Who is notified? Can use be suspended? Is the vendor contacted? Has an AI scenario been exercised?</x:v>
      </x:c>
      <x:c r="E17" s="47" t="str">
        <x:f>VLOOKUP(A17,'Question Guide'!$A$5:$L$16,5,FALSE)</x:f>
        <x:v>AI-related events can be identified, contained, escalated, reported, investigated, and used to improve controls.</x:v>
      </x:c>
      <x:c r="F17" s="30"/>
      <x:c r="G17" s="30"/>
      <x:c r="H17" s="30"/>
      <x:c r="I17" s="30"/>
      <x:c r="J17" s="30"/>
      <x:c r="K17" s="30"/>
      <x:c r="L17" s="30"/>
      <x:c r="M17" s="47" t="str">
        <x:f>IF(G17="","",IF(G17="No",0,IF(G17="Unknown","Needs review",IF(COUNTA(H17:J17)&lt;3,"Incomplete",IF(OR(H17="Unknown",I17="Unknown",J17="Unknown"),"Needs review",IF(AND(H17="Yes",I17="Yes",J17="Yes"),3,IF(AND(H17="Yes",I17="Yes"),2,1)))))))</x:f>
      </x:c>
      <x:c r="N17" s="47" t="str">
        <x:f>IF(ISNUMBER(M17),CHOOSE(M17+1,"Absent/not considered","Informal or ad hoc","Documented and implemented","Managed and reviewed"),M17)</x:f>
      </x:c>
      <x:c r="O17" s="30"/>
    </x:row>
    <x:row r="18" ht="92" customHeight="1">
      <x:c r="A18" s="47" t="str">
        <x:v>Q11</x:v>
      </x:c>
      <x:c r="B18" s="47" t="str">
        <x:f>VLOOKUP(A18,'Question Guide'!$A$5:$L$16,2,FALSE)</x:f>
        <x:v>People and policy</x:v>
      </x:c>
      <x:c r="C18" s="47" t="str">
        <x:f>VLOOKUP(A18,'Question Guide'!$A$5:$L$16,3,FALSE)</x:f>
        <x:v>What guidance or training have employees received about responsible and secure AI use?</x:v>
      </x:c>
      <x:c r="D18" s="47" t="str">
        <x:f>VLOOKUP(A18,'Question Guide'!$A$5:$L$16,4,FALSE)</x:f>
        <x:v>Is it required? Does it cover approved tools, data, verification, disclosure, and reporting? How is it updated?</x:v>
      </x:c>
      <x:c r="E18" s="47" t="str">
        <x:f>VLOOKUP(A18,'Question Guide'!$A$5:$L$16,5,FALSE)</x:f>
        <x:v>Employees receive role-relevant AI policy, guidance, and awareness that are maintained as risks and use cases change.</x:v>
      </x:c>
      <x:c r="F18" s="30"/>
      <x:c r="G18" s="30"/>
      <x:c r="H18" s="30"/>
      <x:c r="I18" s="30"/>
      <x:c r="J18" s="30"/>
      <x:c r="K18" s="30"/>
      <x:c r="L18" s="30"/>
      <x:c r="M18" s="47" t="str">
        <x:f>IF(G18="","",IF(G18="No",0,IF(G18="Unknown","Needs review",IF(COUNTA(H18:J18)&lt;3,"Incomplete",IF(OR(H18="Unknown",I18="Unknown",J18="Unknown"),"Needs review",IF(AND(H18="Yes",I18="Yes",J18="Yes"),3,IF(AND(H18="Yes",I18="Yes"),2,1)))))))</x:f>
      </x:c>
      <x:c r="N18" s="47" t="str">
        <x:f>IF(ISNUMBER(M18),CHOOSE(M18+1,"Absent/not considered","Informal or ad hoc","Documented and implemented","Managed and reviewed"),M18)</x:f>
      </x:c>
      <x:c r="O18" s="30"/>
    </x:row>
    <x:row r="19" ht="92" customHeight="1">
      <x:c r="A19" s="47" t="str">
        <x:v>Q12</x:v>
      </x:c>
      <x:c r="B19" s="47" t="str">
        <x:f>VLOOKUP(A19,'Question Guide'!$A$5:$L$16,2,FALSE)</x:f>
        <x:v>Barriers and support</x:v>
      </x:c>
      <x:c r="C19" s="47" t="str">
        <x:f>VLOOKUP(A19,'Question Guide'!$A$5:$L$16,3,FALSE)</x:f>
        <x:v>What makes AI governance or cybersecurity difficult for your company, and what practical support would help?</x:v>
      </x:c>
      <x:c r="D19" s="47" t="str">
        <x:f>VLOOKUP(A19,'Question Guide'!$A$5:$L$16,4,FALSE)</x:f>
        <x:v>Probe for cost, time, skills, leadership priority, vendor information, unclear guidance, templates, training, assessments, or specialist advice.</x:v>
      </x:c>
      <x:c r="E19" s="47" t="str">
        <x:f>VLOOKUP(A19,'Question Guide'!$A$5:$L$16,5,FALSE)</x:f>
        <x:v>Qualitative context is collected to explain readiness results and identify practical support needs.</x:v>
      </x:c>
      <x:c r="F19" s="30"/>
      <x:c r="G19" s="64" t="str">
        <x:v>N/A</x:v>
      </x:c>
      <x:c r="H19" s="64" t="str">
        <x:v>N/A</x:v>
      </x:c>
      <x:c r="I19" s="64" t="str">
        <x:v>N/A</x:v>
      </x:c>
      <x:c r="J19" s="64" t="str">
        <x:v>N/A</x:v>
      </x:c>
      <x:c r="K19" s="30"/>
      <x:c r="L19" s="30"/>
      <x:c r="M19" s="65" t="str">
        <x:v>N/A</x:v>
      </x:c>
      <x:c r="N19" s="65" t="str">
        <x:v>Qualitative question — not scored</x:v>
      </x:c>
      <x:c r="O19" s="30"/>
    </x:row>
  </x:sheetData>
  <x:mergeCells>
    <x:mergeCell ref="A1:O1"/>
    <x:mergeCell ref="A5:O5"/>
  </x:mergeCells>
  <x:conditionalFormatting sqref="M8:M18">
    <x:cfRule type="cellIs" dxfId="12" priority="1" operator="equal">
      <x:formula>0</x:formula>
    </x:cfRule>
    <x:cfRule type="cellIs" dxfId="13" priority="2" operator="equal">
      <x:formula>1</x:formula>
    </x:cfRule>
    <x:cfRule type="cellIs" dxfId="14" priority="3" operator="equal">
      <x:formula>2</x:formula>
    </x:cfRule>
    <x:cfRule type="cellIs" dxfId="15" priority="4" operator="equal">
      <x:formula>3</x:formula>
    </x:cfRule>
  </x:conditionalFormatting>
  <x:dataValidations count="11">
    <x:dataValidation type="list" sqref="B2">
      <x:formula1>"SAIA,SCCCI,Both"</x:formula1>
    </x:dataValidation>
    <x:dataValidation type="list" sqref="F2">
      <x:formula1>"1–9,10–49,50–99,100–199,200+"</x:formula1>
    </x:dataValidation>
    <x:dataValidation type="list" sqref="H2">
      <x:formula1>"Exploring,Piloting,Operational use"</x:formula1>
    </x:dataValidation>
    <x:dataValidation type="list" sqref="D3">
      <x:formula1>"Lower,Moderate,Higher,To be assessed"</x:formula1>
    </x:dataValidation>
    <x:dataValidation type="list" sqref="H3">
      <x:formula1>"Yes,No"</x:formula1>
    </x:dataValidation>
    <x:dataValidation type="list" sqref="G8:G18">
      <x:formula1>"Yes,No,Unknown"</x:formula1>
    </x:dataValidation>
    <x:dataValidation type="list" sqref="H8:H18">
      <x:formula1>"Yes,No,Unknown"</x:formula1>
    </x:dataValidation>
    <x:dataValidation type="list" sqref="I8:I18">
      <x:formula1>"Yes,No,Unknown"</x:formula1>
    </x:dataValidation>
    <x:dataValidation type="list" sqref="J8:J18">
      <x:formula1>"Yes,No,Unknown"</x:formula1>
    </x:dataValidation>
    <x:dataValidation type="list" sqref="K8:K19">
      <x:formula1>"Statement only,Specific example described,Document described,Document observed,System evidence observed"</x:formula1>
    </x:dataValidation>
    <x:dataValidation type="list" sqref="L8:L19">
      <x:formula1>"Low,Medium,High"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4" hidden="0" customWidth="1"/>
    <x:col min="3" max="3" width="42" hidden="0" customWidth="1"/>
    <x:col min="4" max="4" width="43" hidden="0" customWidth="1"/>
    <x:col min="5" max="5" width="44" hidden="0" customWidth="1"/>
    <x:col min="6" max="6" width="58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24" hidden="0" customWidth="1"/>
    <x:col min="12" max="12" width="14" hidden="0" customWidth="1"/>
    <x:col min="13" max="13" width="14" hidden="0" customWidth="1"/>
    <x:col min="14" max="14" width="31" hidden="0" customWidth="1"/>
    <x:col min="15" max="15" width="36" hidden="0" customWidth="1"/>
  </x:cols>
  <x:sheetData>
    <x:row r="1" ht="36" customHeight="1">
      <x:c r="A1" s="3" t="str">
        <x:v>SME-05 — AI governance and cybersecurity interview form</x:v>
      </x:c>
      <x:c r="B1" s="3" t="str">
        <x:v>SME-05 — AI governance and cybersecurity interview form</x:v>
      </x:c>
      <x:c r="C1" s="3" t="str">
        <x:v>SME-05 — AI governance and cybersecurity interview form</x:v>
      </x:c>
      <x:c r="D1" s="3" t="str">
        <x:v>SME-05 — AI governance and cybersecurity interview form</x:v>
      </x:c>
      <x:c r="E1" s="3" t="str">
        <x:v>SME-05 — AI governance and cybersecurity interview form</x:v>
      </x:c>
      <x:c r="F1" s="3" t="str">
        <x:v>SME-05 — AI governance and cybersecurity interview form</x:v>
      </x:c>
      <x:c r="G1" s="3" t="str">
        <x:v>SME-05 — AI governance and cybersecurity interview form</x:v>
      </x:c>
      <x:c r="H1" s="3" t="str">
        <x:v>SME-05 — AI governance and cybersecurity interview form</x:v>
      </x:c>
      <x:c r="I1" s="3" t="str">
        <x:v>SME-05 — AI governance and cybersecurity interview form</x:v>
      </x:c>
      <x:c r="J1" s="3" t="str">
        <x:v>SME-05 — AI governance and cybersecurity interview form</x:v>
      </x:c>
      <x:c r="K1" s="3" t="str">
        <x:v>SME-05 — AI governance and cybersecurity interview form</x:v>
      </x:c>
      <x:c r="L1" s="3" t="str">
        <x:v>SME-05 — AI governance and cybersecurity interview form</x:v>
      </x:c>
      <x:c r="M1" s="3" t="str">
        <x:v>SME-05 — AI governance and cybersecurity interview form</x:v>
      </x:c>
      <x:c r="N1" s="3" t="str">
        <x:v>SME-05 — AI governance and cybersecurity interview form</x:v>
      </x:c>
      <x:c r="O1" s="3" t="str">
        <x:v>SME-05 — AI governance and cybersecurity interview form</x:v>
      </x:c>
    </x:row>
    <x:row r="2">
      <x:c r="A2" s="51" t="str">
        <x:v>Recruitment channel</x:v>
      </x:c>
      <x:c r="B2" s="27" t="str"/>
      <x:c r="C2" s="51" t="str">
        <x:v>Sector</x:v>
      </x:c>
      <x:c r="D2" s="27" t="str"/>
      <x:c r="E2" s="51" t="str">
        <x:v>Employee range</x:v>
      </x:c>
      <x:c r="F2" s="27" t="str"/>
      <x:c r="G2" s="51" t="str">
        <x:v>AI adoption stage</x:v>
      </x:c>
      <x:c r="H2" s="27" t="str"/>
      <x:c r="I2" s="51" t="str">
        <x:v>Interview date</x:v>
      </x:c>
      <x:c r="J2" s="53" t="str"/>
    </x:row>
    <x:row r="3">
      <x:c r="A3" s="52" t="str">
        <x:v>Primary GenAI use case</x:v>
      </x:c>
      <x:c r="B3" s="30" t="str"/>
      <x:c r="C3" s="52" t="str">
        <x:v>Risk exposure</x:v>
      </x:c>
      <x:c r="D3" s="30" t="str"/>
      <x:c r="E3" s="52" t="str">
        <x:v>Respondent role</x:v>
      </x:c>
      <x:c r="F3" s="30" t="str"/>
      <x:c r="G3" s="52" t="str">
        <x:v>Consent confirmed?</x:v>
      </x:c>
      <x:c r="H3" s="30" t="str"/>
      <x:c r="I3" s="52" t="str">
        <x:v>Interviewer</x:v>
      </x:c>
      <x:c r="J3" s="30" t="str">
        <x:v>Maria Singh</x:v>
      </x:c>
    </x:row>
    <x:row r="5" ht="38" customHeight="1">
      <x:c r="A5" s="43" t="str">
        <x:v>During the interview: ask the question naturally and record the answer. After the answer: code the four evidence checks using the Question Guide. Yellow = your input; green/gray = automatic or fixed.</x:v>
      </x:c>
      <x:c r="B5" s="43" t="str">
        <x:v>During the interview: ask the question naturally and record the answer. After the answer: code the four evidence checks using the Question Guide. Yellow = your input; green/gray = automatic or fixed.</x:v>
      </x:c>
      <x:c r="C5" s="43" t="str">
        <x:v>During the interview: ask the question naturally and record the answer. After the answer: code the four evidence checks using the Question Guide. Yellow = your input; green/gray = automatic or fixed.</x:v>
      </x:c>
      <x:c r="D5" s="43" t="str">
        <x:v>During the interview: ask the question naturally and record the answer. After the answer: code the four evidence checks using the Question Guide. Yellow = your input; green/gray = automatic or fixed.</x:v>
      </x:c>
      <x:c r="E5" s="43" t="str">
        <x:v>During the interview: ask the question naturally and record the answer. After the answer: code the four evidence checks using the Question Guide. Yellow = your input; green/gray = automatic or fixed.</x:v>
      </x:c>
      <x:c r="F5" s="43" t="str">
        <x:v>During the interview: ask the question naturally and record the answer. After the answer: code the four evidence checks using the Question Guide. Yellow = your input; green/gray = automatic or fixed.</x:v>
      </x:c>
      <x:c r="G5" s="43" t="str">
        <x:v>During the interview: ask the question naturally and record the answer. After the answer: code the four evidence checks using the Question Guide. Yellow = your input; green/gray = automatic or fixed.</x:v>
      </x:c>
      <x:c r="H5" s="43" t="str">
        <x:v>During the interview: ask the question naturally and record the answer. After the answer: code the four evidence checks using the Question Guide. Yellow = your input; green/gray = automatic or fixed.</x:v>
      </x:c>
      <x:c r="I5" s="43" t="str">
        <x:v>During the interview: ask the question naturally and record the answer. After the answer: code the four evidence checks using the Question Guide. Yellow = your input; green/gray = automatic or fixed.</x:v>
      </x:c>
      <x:c r="J5" s="43" t="str">
        <x:v>During the interview: ask the question naturally and record the answer. After the answer: code the four evidence checks using the Question Guide. Yellow = your input; green/gray = automatic or fixed.</x:v>
      </x:c>
      <x:c r="K5" s="43" t="str">
        <x:v>During the interview: ask the question naturally and record the answer. After the answer: code the four evidence checks using the Question Guide. Yellow = your input; green/gray = automatic or fixed.</x:v>
      </x:c>
      <x:c r="L5" s="43" t="str">
        <x:v>During the interview: ask the question naturally and record the answer. After the answer: code the four evidence checks using the Question Guide. Yellow = your input; green/gray = automatic or fixed.</x:v>
      </x:c>
      <x:c r="M5" s="43" t="str">
        <x:v>During the interview: ask the question naturally and record the answer. After the answer: code the four evidence checks using the Question Guide. Yellow = your input; green/gray = automatic or fixed.</x:v>
      </x:c>
      <x:c r="N5" s="43" t="str">
        <x:v>During the interview: ask the question naturally and record the answer. After the answer: code the four evidence checks using the Question Guide. Yellow = your input; green/gray = automatic or fixed.</x:v>
      </x:c>
      <x:c r="O5" s="43" t="str">
        <x:v>During the interview: ask the question naturally and record the answer. After the answer: code the four evidence checks using the Question Guide. Yellow = your input; green/gray = automatic or fixed.</x:v>
      </x:c>
    </x:row>
    <x:row r="7" ht="48" customHeight="1">
      <x:c r="A7" s="12" t="str">
        <x:v>Q ID</x:v>
      </x:c>
      <x:c r="B7" s="13" t="str">
        <x:v>Domain</x:v>
      </x:c>
      <x:c r="C7" s="13" t="str">
        <x:v>Question to ask</x:v>
      </x:c>
      <x:c r="D7" s="13" t="str">
        <x:v>Suggested probes</x:v>
      </x:c>
      <x:c r="E7" s="13" t="str">
        <x:v>Control being measured</x:v>
      </x:c>
      <x:c r="F7" s="13" t="str">
        <x:v>Response/evidence notes</x:v>
      </x:c>
      <x:c r="G7" s="13" t="str">
        <x:v>Practice exists?</x:v>
      </x:c>
      <x:c r="H7" s="13" t="str">
        <x:v>Documented?</x:v>
      </x:c>
      <x:c r="I7" s="13" t="str">
        <x:v>Implemented?</x:v>
      </x:c>
      <x:c r="J7" s="13" t="str">
        <x:v>Reviewed?</x:v>
      </x:c>
      <x:c r="K7" s="13" t="str">
        <x:v>Evidence basis</x:v>
      </x:c>
      <x:c r="L7" s="13" t="str">
        <x:v>Confidence</x:v>
      </x:c>
      <x:c r="M7" s="13" t="str">
        <x:v>Auto score</x:v>
      </x:c>
      <x:c r="N7" s="13" t="str">
        <x:v>Score meaning</x:v>
      </x:c>
      <x:c r="O7" s="14" t="str">
        <x:v>Barrier/support notes</x:v>
      </x:c>
    </x:row>
    <x:row r="8" ht="92" customHeight="1">
      <x:c r="A8" s="46" t="str">
        <x:v>Q01</x:v>
      </x:c>
      <x:c r="B8" s="46" t="str">
        <x:f>VLOOKUP(A8,'Question Guide'!$A$5:$L$16,2,FALSE)</x:f>
        <x:v>AI use context</x:v>
      </x:c>
      <x:c r="C8" s="46" t="str">
        <x:f>VLOOKUP(A8,'Question Guide'!$A$5:$L$16,3,FALSE)</x:f>
        <x:v>What generative AI tools or use cases is your company exploring or using?</x:v>
      </x:c>
      <x:c r="D8" s="46" t="str">
        <x:f>VLOOKUP(A8,'Question Guide'!$A$5:$L$16,4,FALSE)</x:f>
        <x:v>Who uses them? For what process? What information is involved? When was the list last checked?</x:v>
      </x:c>
      <x:c r="E8" s="46" t="str">
        <x:f>VLOOKUP(A8,'Question Guide'!$A$5:$L$16,5,FALSE)</x:f>
        <x:v>AI use cases are identified, recorded, assigned an owner, and kept current.</x:v>
      </x:c>
      <x:c r="F8" s="27"/>
      <x:c r="G8" s="27"/>
      <x:c r="H8" s="27"/>
      <x:c r="I8" s="27"/>
      <x:c r="J8" s="27"/>
      <x:c r="K8" s="27"/>
      <x:c r="L8" s="27"/>
      <x:c r="M8" s="46" t="str">
        <x:f>IF(G8="","",IF(G8="No",0,IF(G8="Unknown","Needs review",IF(COUNTA(H8:J8)&lt;3,"Incomplete",IF(OR(H8="Unknown",I8="Unknown",J8="Unknown"),"Needs review",IF(AND(H8="Yes",I8="Yes",J8="Yes"),3,IF(AND(H8="Yes",I8="Yes"),2,1)))))))</x:f>
      </x:c>
      <x:c r="N8" s="46" t="str">
        <x:f>IF(ISNUMBER(M8),CHOOSE(M8+1,"Absent/not considered","Informal or ad hoc","Documented and implemented","Managed and reviewed"),M8)</x:f>
      </x:c>
      <x:c r="O8" s="27"/>
    </x:row>
    <x:row r="9" ht="92" customHeight="1">
      <x:c r="A9" s="47" t="str">
        <x:v>Q02</x:v>
      </x:c>
      <x:c r="B9" s="47" t="str">
        <x:f>VLOOKUP(A9,'Question Guide'!$A$5:$L$16,2,FALSE)</x:f>
        <x:v>Accountability and governance</x:v>
      </x:c>
      <x:c r="C9" s="47" t="str">
        <x:f>VLOOKUP(A9,'Question Guide'!$A$5:$L$16,3,FALSE)</x:f>
        <x:v>Who is responsible for approving and overseeing AI use?</x:v>
      </x:c>
      <x:c r="D9" s="47" t="str">
        <x:f>VLOOKUP(A9,'Question Guide'!$A$5:$L$16,4,FALSE)</x:f>
        <x:v>Who can approve, stop, or change a use case? When was this authority last used?</x:v>
      </x:c>
      <x:c r="E9" s="47" t="str">
        <x:f>VLOOKUP(A9,'Question Guide'!$A$5:$L$16,5,FALSE)</x:f>
        <x:v>AI decision rights, ownership, approval, and escalation responsibilities are assigned.</x:v>
      </x:c>
      <x:c r="F9" s="30"/>
      <x:c r="G9" s="30"/>
      <x:c r="H9" s="30"/>
      <x:c r="I9" s="30"/>
      <x:c r="J9" s="30"/>
      <x:c r="K9" s="30"/>
      <x:c r="L9" s="30"/>
      <x:c r="M9" s="47" t="str">
        <x:f>IF(G9="","",IF(G9="No",0,IF(G9="Unknown","Needs review",IF(COUNTA(H9:J9)&lt;3,"Incomplete",IF(OR(H9="Unknown",I9="Unknown",J9="Unknown"),"Needs review",IF(AND(H9="Yes",I9="Yes",J9="Yes"),3,IF(AND(H9="Yes",I9="Yes"),2,1)))))))</x:f>
      </x:c>
      <x:c r="N9" s="47" t="str">
        <x:f>IF(ISNUMBER(M9),CHOOSE(M9+1,"Absent/not considered","Informal or ad hoc","Documented and implemented","Managed and reviewed"),M9)</x:f>
      </x:c>
      <x:c r="O9" s="30"/>
    </x:row>
    <x:row r="10" ht="92" customHeight="1">
      <x:c r="A10" s="47" t="str">
        <x:v>Q03</x:v>
      </x:c>
      <x:c r="B10" s="47" t="str">
        <x:f>VLOOKUP(A10,'Question Guide'!$A$5:$L$16,2,FALSE)</x:f>
        <x:v>Accountability and governance</x:v>
      </x:c>
      <x:c r="C10" s="47" t="str">
        <x:f>VLOOKUP(A10,'Question Guide'!$A$5:$L$16,3,FALSE)</x:f>
        <x:v>Before an AI use case is approved, what risks does the company consider?</x:v>
      </x:c>
      <x:c r="D10" s="47" t="str">
        <x:f>VLOOKUP(A10,'Question Guide'!$A$5:$L$16,4,FALSE)</x:f>
        <x:v>Describe the most recent review. Were sensitive data, customer impact, autonomy, accuracy, and consequences considered?</x:v>
      </x:c>
      <x:c r="E10" s="47" t="str">
        <x:f>VLOOKUP(A10,'Question Guide'!$A$5:$L$16,5,FALSE)</x:f>
        <x:v>AI use cases undergo a risk review before approval and when material changes occur.</x:v>
      </x:c>
      <x:c r="F10" s="30"/>
      <x:c r="G10" s="30"/>
      <x:c r="H10" s="30"/>
      <x:c r="I10" s="30"/>
      <x:c r="J10" s="30"/>
      <x:c r="K10" s="30"/>
      <x:c r="L10" s="30"/>
      <x:c r="M10" s="47" t="str">
        <x:f>IF(G10="","",IF(G10="No",0,IF(G10="Unknown","Needs review",IF(COUNTA(H10:J10)&lt;3,"Incomplete",IF(OR(H10="Unknown",I10="Unknown",J10="Unknown"),"Needs review",IF(AND(H10="Yes",I10="Yes",J10="Yes"),3,IF(AND(H10="Yes",I10="Yes"),2,1)))))))</x:f>
      </x:c>
      <x:c r="N10" s="47" t="str">
        <x:f>IF(ISNUMBER(M10),CHOOSE(M10+1,"Absent/not considered","Informal or ad hoc","Documented and implemented","Managed and reviewed"),M10)</x:f>
      </x:c>
      <x:c r="O10" s="30"/>
    </x:row>
    <x:row r="11" ht="92" customHeight="1">
      <x:c r="A11" s="47" t="str">
        <x:v>Q04</x:v>
      </x:c>
      <x:c r="B11" s="47" t="str">
        <x:f>VLOOKUP(A11,'Question Guide'!$A$5:$L$16,2,FALSE)</x:f>
        <x:v>Data protection</x:v>
      </x:c>
      <x:c r="C11" s="47" t="str">
        <x:f>VLOOKUP(A11,'Question Guide'!$A$5:$L$16,3,FALSE)</x:f>
        <x:v>What information may or may not be entered into generative AI tools?</x:v>
      </x:c>
      <x:c r="D11" s="47" t="str">
        <x:f>VLOOKUP(A11,'Question Guide'!$A$5:$L$16,4,FALSE)</x:f>
        <x:v>How do employees know? Are customer, employee, financial, confidential, or regulated data addressed?</x:v>
      </x:c>
      <x:c r="E11" s="47" t="str">
        <x:f>VLOOKUP(A11,'Question Guide'!$A$5:$L$16,5,FALSE)</x:f>
        <x:v>Rules govern the data employees may enter into AI tools and how AI-generated information may be handled.</x:v>
      </x:c>
      <x:c r="F11" s="30"/>
      <x:c r="G11" s="30"/>
      <x:c r="H11" s="30"/>
      <x:c r="I11" s="30"/>
      <x:c r="J11" s="30"/>
      <x:c r="K11" s="30"/>
      <x:c r="L11" s="30"/>
      <x:c r="M11" s="47" t="str">
        <x:f>IF(G11="","",IF(G11="No",0,IF(G11="Unknown","Needs review",IF(COUNTA(H11:J11)&lt;3,"Incomplete",IF(OR(H11="Unknown",I11="Unknown",J11="Unknown"),"Needs review",IF(AND(H11="Yes",I11="Yes",J11="Yes"),3,IF(AND(H11="Yes",I11="Yes"),2,1)))))))</x:f>
      </x:c>
      <x:c r="N11" s="47" t="str">
        <x:f>IF(ISNUMBER(M11),CHOOSE(M11+1,"Absent/not considered","Informal or ad hoc","Documented and implemented","Managed and reviewed"),M11)</x:f>
      </x:c>
      <x:c r="O11" s="30"/>
    </x:row>
    <x:row r="12" ht="92" customHeight="1">
      <x:c r="A12" s="47" t="str">
        <x:v>Q05</x:v>
      </x:c>
      <x:c r="B12" s="47" t="str">
        <x:f>VLOOKUP(A12,'Question Guide'!$A$5:$L$16,2,FALSE)</x:f>
        <x:v>Third-party management</x:v>
      </x:c>
      <x:c r="C12" s="47" t="str">
        <x:f>VLOOKUP(A12,'Question Guide'!$A$5:$L$16,3,FALSE)</x:f>
        <x:v>How do you decide whether an AI vendor or tool is trustworthy enough to use?</x:v>
      </x:c>
      <x:c r="D12" s="47" t="str">
        <x:f>VLOOKUP(A12,'Question Guide'!$A$5:$L$16,4,FALSE)</x:f>
        <x:v>Do you examine retention, model training, security, subcontractors, location, incident terms, and contracts?</x:v>
      </x:c>
      <x:c r="E12" s="47" t="str">
        <x:f>VLOOKUP(A12,'Question Guide'!$A$5:$L$16,5,FALSE)</x:f>
        <x:v>AI vendors receive risk-based security, privacy, data-use, and contractual review before and during use.</x:v>
      </x:c>
      <x:c r="F12" s="30"/>
      <x:c r="G12" s="30"/>
      <x:c r="H12" s="30"/>
      <x:c r="I12" s="30"/>
      <x:c r="J12" s="30"/>
      <x:c r="K12" s="30"/>
      <x:c r="L12" s="30"/>
      <x:c r="M12" s="47" t="str">
        <x:f>IF(G12="","",IF(G12="No",0,IF(G12="Unknown","Needs review",IF(COUNTA(H12:J12)&lt;3,"Incomplete",IF(OR(H12="Unknown",I12="Unknown",J12="Unknown"),"Needs review",IF(AND(H12="Yes",I12="Yes",J12="Yes"),3,IF(AND(H12="Yes",I12="Yes"),2,1)))))))</x:f>
      </x:c>
      <x:c r="N12" s="47" t="str">
        <x:f>IF(ISNUMBER(M12),CHOOSE(M12+1,"Absent/not considered","Informal or ad hoc","Documented and implemented","Managed and reviewed"),M12)</x:f>
      </x:c>
      <x:c r="O12" s="30"/>
    </x:row>
    <x:row r="13" ht="92" customHeight="1">
      <x:c r="A13" s="47" t="str">
        <x:v>Q06</x:v>
      </x:c>
      <x:c r="B13" s="47" t="str">
        <x:f>VLOOKUP(A13,'Question Guide'!$A$5:$L$16,2,FALSE)</x:f>
        <x:v>Access and integration security</x:v>
      </x:c>
      <x:c r="C13" s="47" t="str">
        <x:f>VLOOKUP(A13,'Question Guide'!$A$5:$L$16,3,FALSE)</x:f>
        <x:v>How is access to AI tools and connected company systems managed?</x:v>
      </x:c>
      <x:c r="D13" s="47" t="str">
        <x:f>VLOOKUP(A13,'Question Guide'!$A$5:$L$16,4,FALSE)</x:f>
        <x:v>Are accounts shared? Is MFA used? What data can the tool retrieve? What actions can it take? What happens when someone leaves?</x:v>
      </x:c>
      <x:c r="E13" s="47" t="str">
        <x:f>VLOOKUP(A13,'Question Guide'!$A$5:$L$16,5,FALSE)</x:f>
        <x:v>AI access and integrations use individual identity, least privilege, controlled permissions, and timely removal.</x:v>
      </x:c>
      <x:c r="F13" s="30"/>
      <x:c r="G13" s="30"/>
      <x:c r="H13" s="30"/>
      <x:c r="I13" s="30"/>
      <x:c r="J13" s="30"/>
      <x:c r="K13" s="30"/>
      <x:c r="L13" s="30"/>
      <x:c r="M13" s="47" t="str">
        <x:f>IF(G13="","",IF(G13="No",0,IF(G13="Unknown","Needs review",IF(COUNTA(H13:J13)&lt;3,"Incomplete",IF(OR(H13="Unknown",I13="Unknown",J13="Unknown"),"Needs review",IF(AND(H13="Yes",I13="Yes",J13="Yes"),3,IF(AND(H13="Yes",I13="Yes"),2,1)))))))</x:f>
      </x:c>
      <x:c r="N13" s="47" t="str">
        <x:f>IF(ISNUMBER(M13),CHOOSE(M13+1,"Absent/not considered","Informal or ad hoc","Documented and implemented","Managed and reviewed"),M13)</x:f>
      </x:c>
      <x:c r="O13" s="30"/>
    </x:row>
    <x:row r="14" ht="92" customHeight="1">
      <x:c r="A14" s="47" t="str">
        <x:v>Q07</x:v>
      </x:c>
      <x:c r="B14" s="47" t="str">
        <x:f>VLOOKUP(A14,'Question Guide'!$A$5:$L$16,2,FALSE)</x:f>
        <x:v>Human oversight</x:v>
      </x:c>
      <x:c r="C14" s="47" t="str">
        <x:f>VLOOKUP(A14,'Question Guide'!$A$5:$L$16,3,FALSE)</x:f>
        <x:v>Which AI-generated outputs or actions require human review?</x:v>
      </x:c>
      <x:c r="D14" s="47" t="str">
        <x:f>VLOOKUP(A14,'Question Guide'!$A$5:$L$16,4,FALSE)</x:f>
        <x:v>Who reviews them? What are they checking? What happens when confidence is low or a customer may be affected?</x:v>
      </x:c>
      <x:c r="E14" s="47" t="str">
        <x:f>VLOOKUP(A14,'Question Guide'!$A$5:$L$16,5,FALSE)</x:f>
        <x:v>Risk-based human review, decision authority, override, and escalation are defined for consequential AI outputs or actions.</x:v>
      </x:c>
      <x:c r="F14" s="30"/>
      <x:c r="G14" s="30"/>
      <x:c r="H14" s="30"/>
      <x:c r="I14" s="30"/>
      <x:c r="J14" s="30"/>
      <x:c r="K14" s="30"/>
      <x:c r="L14" s="30"/>
      <x:c r="M14" s="47" t="str">
        <x:f>IF(G14="","",IF(G14="No",0,IF(G14="Unknown","Needs review",IF(COUNTA(H14:J14)&lt;3,"Incomplete",IF(OR(H14="Unknown",I14="Unknown",J14="Unknown"),"Needs review",IF(AND(H14="Yes",I14="Yes",J14="Yes"),3,IF(AND(H14="Yes",I14="Yes"),2,1)))))))</x:f>
      </x:c>
      <x:c r="N14" s="47" t="str">
        <x:f>IF(ISNUMBER(M14),CHOOSE(M14+1,"Absent/not considered","Informal or ad hoc","Documented and implemented","Managed and reviewed"),M14)</x:f>
      </x:c>
      <x:c r="O14" s="30"/>
    </x:row>
    <x:row r="15" ht="92" customHeight="1">
      <x:c r="A15" s="47" t="str">
        <x:v>Q08</x:v>
      </x:c>
      <x:c r="B15" s="47" t="str">
        <x:f>VLOOKUP(A15,'Question Guide'!$A$5:$L$16,2,FALSE)</x:f>
        <x:v>Testing and assurance</x:v>
      </x:c>
      <x:c r="C15" s="47" t="str">
        <x:f>VLOOKUP(A15,'Question Guide'!$A$5:$L$16,3,FALSE)</x:f>
        <x:v>How do you determine whether an AI system or output is accurate and reliable enough for its intended use?</x:v>
      </x:c>
      <x:c r="D15" s="47" t="str">
        <x:f>VLOOKUP(A15,'Question Guide'!$A$5:$L$16,4,FALSE)</x:f>
        <x:v>What was tested before use? Which failures matter? What acceptance level is required? Is testing repeated after change?</x:v>
      </x:c>
      <x:c r="E15" s="47" t="str">
        <x:f>VLOOKUP(A15,'Question Guide'!$A$5:$L$16,5,FALSE)</x:f>
        <x:v>AI use cases are tested against documented fitness, safety, security, and reliability criteria before use and after material change.</x:v>
      </x:c>
      <x:c r="F15" s="30"/>
      <x:c r="G15" s="30"/>
      <x:c r="H15" s="30"/>
      <x:c r="I15" s="30"/>
      <x:c r="J15" s="30"/>
      <x:c r="K15" s="30"/>
      <x:c r="L15" s="30"/>
      <x:c r="M15" s="47" t="str">
        <x:f>IF(G15="","",IF(G15="No",0,IF(G15="Unknown","Needs review",IF(COUNTA(H15:J15)&lt;3,"Incomplete",IF(OR(H15="Unknown",I15="Unknown",J15="Unknown"),"Needs review",IF(AND(H15="Yes",I15="Yes",J15="Yes"),3,IF(AND(H15="Yes",I15="Yes"),2,1)))))))</x:f>
      </x:c>
      <x:c r="N15" s="47" t="str">
        <x:f>IF(ISNUMBER(M15),CHOOSE(M15+1,"Absent/not considered","Informal or ad hoc","Documented and implemented","Managed and reviewed"),M15)</x:f>
      </x:c>
      <x:c r="O15" s="30"/>
    </x:row>
    <x:row r="16" ht="92" customHeight="1">
      <x:c r="A16" s="47" t="str">
        <x:v>Q09</x:v>
      </x:c>
      <x:c r="B16" s="47" t="str">
        <x:f>VLOOKUP(A16,'Question Guide'!$A$5:$L$16,2,FALSE)</x:f>
        <x:v>Monitoring and change</x:v>
      </x:c>
      <x:c r="C16" s="47" t="str">
        <x:f>VLOOKUP(A16,'Question Guide'!$A$5:$L$16,3,FALSE)</x:f>
        <x:v>After an AI use case goes live, how do you know it continues to operate safely and as intended?</x:v>
      </x:c>
      <x:c r="D16" s="47" t="str">
        <x:f>VLOOKUP(A16,'Question Guide'!$A$5:$L$16,4,FALSE)</x:f>
        <x:v>What is logged? Who reviews errors, complaints, vendor changes, unusual behavior, or declining quality?</x:v>
      </x:c>
      <x:c r="E16" s="47" t="str">
        <x:f>VLOOKUP(A16,'Question Guide'!$A$5:$L$16,5,FALSE)</x:f>
        <x:v>Operational AI use is monitored using assigned metrics, logs, issues, thresholds, and change triggers.</x:v>
      </x:c>
      <x:c r="F16" s="30"/>
      <x:c r="G16" s="30"/>
      <x:c r="H16" s="30"/>
      <x:c r="I16" s="30"/>
      <x:c r="J16" s="30"/>
      <x:c r="K16" s="30"/>
      <x:c r="L16" s="30"/>
      <x:c r="M16" s="47" t="str">
        <x:f>IF(G16="","",IF(G16="No",0,IF(G16="Unknown","Needs review",IF(COUNTA(H16:J16)&lt;3,"Incomplete",IF(OR(H16="Unknown",I16="Unknown",J16="Unknown"),"Needs review",IF(AND(H16="Yes",I16="Yes",J16="Yes"),3,IF(AND(H16="Yes",I16="Yes"),2,1)))))))</x:f>
      </x:c>
      <x:c r="N16" s="47" t="str">
        <x:f>IF(ISNUMBER(M16),CHOOSE(M16+1,"Absent/not considered","Informal or ad hoc","Documented and implemented","Managed and reviewed"),M16)</x:f>
      </x:c>
      <x:c r="O16" s="30"/>
    </x:row>
    <x:row r="17" ht="92" customHeight="1">
      <x:c r="A17" s="47" t="str">
        <x:v>Q10</x:v>
      </x:c>
      <x:c r="B17" s="47" t="str">
        <x:f>VLOOKUP(A17,'Question Guide'!$A$5:$L$16,2,FALSE)</x:f>
        <x:v>Incident response</x:v>
      </x:c>
      <x:c r="C17" s="47" t="str">
        <x:f>VLOOKUP(A17,'Question Guide'!$A$5:$L$16,3,FALSE)</x:f>
        <x:v>What would happen if an AI tool exposed sensitive information, produced harmful content, or took an unintended action?</x:v>
      </x:c>
      <x:c r="D17" s="47" t="str">
        <x:f>VLOOKUP(A17,'Question Guide'!$A$5:$L$16,4,FALSE)</x:f>
        <x:v>Who is notified? Can use be suspended? Is the vendor contacted? Has an AI scenario been exercised?</x:v>
      </x:c>
      <x:c r="E17" s="47" t="str">
        <x:f>VLOOKUP(A17,'Question Guide'!$A$5:$L$16,5,FALSE)</x:f>
        <x:v>AI-related events can be identified, contained, escalated, reported, investigated, and used to improve controls.</x:v>
      </x:c>
      <x:c r="F17" s="30"/>
      <x:c r="G17" s="30"/>
      <x:c r="H17" s="30"/>
      <x:c r="I17" s="30"/>
      <x:c r="J17" s="30"/>
      <x:c r="K17" s="30"/>
      <x:c r="L17" s="30"/>
      <x:c r="M17" s="47" t="str">
        <x:f>IF(G17="","",IF(G17="No",0,IF(G17="Unknown","Needs review",IF(COUNTA(H17:J17)&lt;3,"Incomplete",IF(OR(H17="Unknown",I17="Unknown",J17="Unknown"),"Needs review",IF(AND(H17="Yes",I17="Yes",J17="Yes"),3,IF(AND(H17="Yes",I17="Yes"),2,1)))))))</x:f>
      </x:c>
      <x:c r="N17" s="47" t="str">
        <x:f>IF(ISNUMBER(M17),CHOOSE(M17+1,"Absent/not considered","Informal or ad hoc","Documented and implemented","Managed and reviewed"),M17)</x:f>
      </x:c>
      <x:c r="O17" s="30"/>
    </x:row>
    <x:row r="18" ht="92" customHeight="1">
      <x:c r="A18" s="47" t="str">
        <x:v>Q11</x:v>
      </x:c>
      <x:c r="B18" s="47" t="str">
        <x:f>VLOOKUP(A18,'Question Guide'!$A$5:$L$16,2,FALSE)</x:f>
        <x:v>People and policy</x:v>
      </x:c>
      <x:c r="C18" s="47" t="str">
        <x:f>VLOOKUP(A18,'Question Guide'!$A$5:$L$16,3,FALSE)</x:f>
        <x:v>What guidance or training have employees received about responsible and secure AI use?</x:v>
      </x:c>
      <x:c r="D18" s="47" t="str">
        <x:f>VLOOKUP(A18,'Question Guide'!$A$5:$L$16,4,FALSE)</x:f>
        <x:v>Is it required? Does it cover approved tools, data, verification, disclosure, and reporting? How is it updated?</x:v>
      </x:c>
      <x:c r="E18" s="47" t="str">
        <x:f>VLOOKUP(A18,'Question Guide'!$A$5:$L$16,5,FALSE)</x:f>
        <x:v>Employees receive role-relevant AI policy, guidance, and awareness that are maintained as risks and use cases change.</x:v>
      </x:c>
      <x:c r="F18" s="30"/>
      <x:c r="G18" s="30"/>
      <x:c r="H18" s="30"/>
      <x:c r="I18" s="30"/>
      <x:c r="J18" s="30"/>
      <x:c r="K18" s="30"/>
      <x:c r="L18" s="30"/>
      <x:c r="M18" s="47" t="str">
        <x:f>IF(G18="","",IF(G18="No",0,IF(G18="Unknown","Needs review",IF(COUNTA(H18:J18)&lt;3,"Incomplete",IF(OR(H18="Unknown",I18="Unknown",J18="Unknown"),"Needs review",IF(AND(H18="Yes",I18="Yes",J18="Yes"),3,IF(AND(H18="Yes",I18="Yes"),2,1)))))))</x:f>
      </x:c>
      <x:c r="N18" s="47" t="str">
        <x:f>IF(ISNUMBER(M18),CHOOSE(M18+1,"Absent/not considered","Informal or ad hoc","Documented and implemented","Managed and reviewed"),M18)</x:f>
      </x:c>
      <x:c r="O18" s="30"/>
    </x:row>
    <x:row r="19" ht="92" customHeight="1">
      <x:c r="A19" s="47" t="str">
        <x:v>Q12</x:v>
      </x:c>
      <x:c r="B19" s="47" t="str">
        <x:f>VLOOKUP(A19,'Question Guide'!$A$5:$L$16,2,FALSE)</x:f>
        <x:v>Barriers and support</x:v>
      </x:c>
      <x:c r="C19" s="47" t="str">
        <x:f>VLOOKUP(A19,'Question Guide'!$A$5:$L$16,3,FALSE)</x:f>
        <x:v>What makes AI governance or cybersecurity difficult for your company, and what practical support would help?</x:v>
      </x:c>
      <x:c r="D19" s="47" t="str">
        <x:f>VLOOKUP(A19,'Question Guide'!$A$5:$L$16,4,FALSE)</x:f>
        <x:v>Probe for cost, time, skills, leadership priority, vendor information, unclear guidance, templates, training, assessments, or specialist advice.</x:v>
      </x:c>
      <x:c r="E19" s="47" t="str">
        <x:f>VLOOKUP(A19,'Question Guide'!$A$5:$L$16,5,FALSE)</x:f>
        <x:v>Qualitative context is collected to explain readiness results and identify practical support needs.</x:v>
      </x:c>
      <x:c r="F19" s="30"/>
      <x:c r="G19" s="64" t="str">
        <x:v>N/A</x:v>
      </x:c>
      <x:c r="H19" s="64" t="str">
        <x:v>N/A</x:v>
      </x:c>
      <x:c r="I19" s="64" t="str">
        <x:v>N/A</x:v>
      </x:c>
      <x:c r="J19" s="64" t="str">
        <x:v>N/A</x:v>
      </x:c>
      <x:c r="K19" s="30"/>
      <x:c r="L19" s="30"/>
      <x:c r="M19" s="65" t="str">
        <x:v>N/A</x:v>
      </x:c>
      <x:c r="N19" s="65" t="str">
        <x:v>Qualitative question — not scored</x:v>
      </x:c>
      <x:c r="O19" s="30"/>
    </x:row>
  </x:sheetData>
  <x:mergeCells>
    <x:mergeCell ref="A1:O1"/>
    <x:mergeCell ref="A5:O5"/>
  </x:mergeCells>
  <x:conditionalFormatting sqref="M8:M18">
    <x:cfRule type="cellIs" dxfId="16" priority="1" operator="equal">
      <x:formula>0</x:formula>
    </x:cfRule>
    <x:cfRule type="cellIs" dxfId="17" priority="2" operator="equal">
      <x:formula>1</x:formula>
    </x:cfRule>
    <x:cfRule type="cellIs" dxfId="18" priority="3" operator="equal">
      <x:formula>2</x:formula>
    </x:cfRule>
    <x:cfRule type="cellIs" dxfId="19" priority="4" operator="equal">
      <x:formula>3</x:formula>
    </x:cfRule>
  </x:conditionalFormatting>
  <x:dataValidations count="11">
    <x:dataValidation type="list" sqref="B2">
      <x:formula1>"SAIA,SCCCI,Both"</x:formula1>
    </x:dataValidation>
    <x:dataValidation type="list" sqref="F2">
      <x:formula1>"1–9,10–49,50–99,100–199,200+"</x:formula1>
    </x:dataValidation>
    <x:dataValidation type="list" sqref="H2">
      <x:formula1>"Exploring,Piloting,Operational use"</x:formula1>
    </x:dataValidation>
    <x:dataValidation type="list" sqref="D3">
      <x:formula1>"Lower,Moderate,Higher,To be assessed"</x:formula1>
    </x:dataValidation>
    <x:dataValidation type="list" sqref="H3">
      <x:formula1>"Yes,No"</x:formula1>
    </x:dataValidation>
    <x:dataValidation type="list" sqref="G8:G18">
      <x:formula1>"Yes,No,Unknown"</x:formula1>
    </x:dataValidation>
    <x:dataValidation type="list" sqref="H8:H18">
      <x:formula1>"Yes,No,Unknown"</x:formula1>
    </x:dataValidation>
    <x:dataValidation type="list" sqref="I8:I18">
      <x:formula1>"Yes,No,Unknown"</x:formula1>
    </x:dataValidation>
    <x:dataValidation type="list" sqref="J8:J18">
      <x:formula1>"Yes,No,Unknown"</x:formula1>
    </x:dataValidation>
    <x:dataValidation type="list" sqref="K8:K19">
      <x:formula1>"Statement only,Specific example described,Document described,Document observed,System evidence observed"</x:formula1>
    </x:dataValidation>
    <x:dataValidation type="list" sqref="L8:L19">
      <x:formula1>"Low,Medium,High"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4" hidden="0" customWidth="1"/>
    <x:col min="3" max="3" width="42" hidden="0" customWidth="1"/>
    <x:col min="4" max="4" width="43" hidden="0" customWidth="1"/>
    <x:col min="5" max="5" width="44" hidden="0" customWidth="1"/>
    <x:col min="6" max="6" width="58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24" hidden="0" customWidth="1"/>
    <x:col min="12" max="12" width="14" hidden="0" customWidth="1"/>
    <x:col min="13" max="13" width="14" hidden="0" customWidth="1"/>
    <x:col min="14" max="14" width="31" hidden="0" customWidth="1"/>
    <x:col min="15" max="15" width="36" hidden="0" customWidth="1"/>
  </x:cols>
  <x:sheetData>
    <x:row r="1" ht="36" customHeight="1">
      <x:c r="A1" s="3" t="str">
        <x:v>SME-06 — AI governance and cybersecurity interview form</x:v>
      </x:c>
      <x:c r="B1" s="3" t="str">
        <x:v>SME-06 — AI governance and cybersecurity interview form</x:v>
      </x:c>
      <x:c r="C1" s="3" t="str">
        <x:v>SME-06 — AI governance and cybersecurity interview form</x:v>
      </x:c>
      <x:c r="D1" s="3" t="str">
        <x:v>SME-06 — AI governance and cybersecurity interview form</x:v>
      </x:c>
      <x:c r="E1" s="3" t="str">
        <x:v>SME-06 — AI governance and cybersecurity interview form</x:v>
      </x:c>
      <x:c r="F1" s="3" t="str">
        <x:v>SME-06 — AI governance and cybersecurity interview form</x:v>
      </x:c>
      <x:c r="G1" s="3" t="str">
        <x:v>SME-06 — AI governance and cybersecurity interview form</x:v>
      </x:c>
      <x:c r="H1" s="3" t="str">
        <x:v>SME-06 — AI governance and cybersecurity interview form</x:v>
      </x:c>
      <x:c r="I1" s="3" t="str">
        <x:v>SME-06 — AI governance and cybersecurity interview form</x:v>
      </x:c>
      <x:c r="J1" s="3" t="str">
        <x:v>SME-06 — AI governance and cybersecurity interview form</x:v>
      </x:c>
      <x:c r="K1" s="3" t="str">
        <x:v>SME-06 — AI governance and cybersecurity interview form</x:v>
      </x:c>
      <x:c r="L1" s="3" t="str">
        <x:v>SME-06 — AI governance and cybersecurity interview form</x:v>
      </x:c>
      <x:c r="M1" s="3" t="str">
        <x:v>SME-06 — AI governance and cybersecurity interview form</x:v>
      </x:c>
      <x:c r="N1" s="3" t="str">
        <x:v>SME-06 — AI governance and cybersecurity interview form</x:v>
      </x:c>
      <x:c r="O1" s="3" t="str">
        <x:v>SME-06 — AI governance and cybersecurity interview form</x:v>
      </x:c>
    </x:row>
    <x:row r="2">
      <x:c r="A2" s="51" t="str">
        <x:v>Recruitment channel</x:v>
      </x:c>
      <x:c r="B2" s="27" t="str"/>
      <x:c r="C2" s="51" t="str">
        <x:v>Sector</x:v>
      </x:c>
      <x:c r="D2" s="27" t="str"/>
      <x:c r="E2" s="51" t="str">
        <x:v>Employee range</x:v>
      </x:c>
      <x:c r="F2" s="27" t="str"/>
      <x:c r="G2" s="51" t="str">
        <x:v>AI adoption stage</x:v>
      </x:c>
      <x:c r="H2" s="27" t="str"/>
      <x:c r="I2" s="51" t="str">
        <x:v>Interview date</x:v>
      </x:c>
      <x:c r="J2" s="53" t="str"/>
    </x:row>
    <x:row r="3">
      <x:c r="A3" s="52" t="str">
        <x:v>Primary GenAI use case</x:v>
      </x:c>
      <x:c r="B3" s="30" t="str"/>
      <x:c r="C3" s="52" t="str">
        <x:v>Risk exposure</x:v>
      </x:c>
      <x:c r="D3" s="30" t="str"/>
      <x:c r="E3" s="52" t="str">
        <x:v>Respondent role</x:v>
      </x:c>
      <x:c r="F3" s="30" t="str"/>
      <x:c r="G3" s="52" t="str">
        <x:v>Consent confirmed?</x:v>
      </x:c>
      <x:c r="H3" s="30" t="str"/>
      <x:c r="I3" s="52" t="str">
        <x:v>Interviewer</x:v>
      </x:c>
      <x:c r="J3" s="30" t="str">
        <x:v>Maria Singh</x:v>
      </x:c>
    </x:row>
    <x:row r="5" ht="38" customHeight="1">
      <x:c r="A5" s="43" t="str">
        <x:v>During the interview: ask the question naturally and record the answer. After the answer: code the four evidence checks using the Question Guide. Yellow = your input; green/gray = automatic or fixed.</x:v>
      </x:c>
      <x:c r="B5" s="43" t="str">
        <x:v>During the interview: ask the question naturally and record the answer. After the answer: code the four evidence checks using the Question Guide. Yellow = your input; green/gray = automatic or fixed.</x:v>
      </x:c>
      <x:c r="C5" s="43" t="str">
        <x:v>During the interview: ask the question naturally and record the answer. After the answer: code the four evidence checks using the Question Guide. Yellow = your input; green/gray = automatic or fixed.</x:v>
      </x:c>
      <x:c r="D5" s="43" t="str">
        <x:v>During the interview: ask the question naturally and record the answer. After the answer: code the four evidence checks using the Question Guide. Yellow = your input; green/gray = automatic or fixed.</x:v>
      </x:c>
      <x:c r="E5" s="43" t="str">
        <x:v>During the interview: ask the question naturally and record the answer. After the answer: code the four evidence checks using the Question Guide. Yellow = your input; green/gray = automatic or fixed.</x:v>
      </x:c>
      <x:c r="F5" s="43" t="str">
        <x:v>During the interview: ask the question naturally and record the answer. After the answer: code the four evidence checks using the Question Guide. Yellow = your input; green/gray = automatic or fixed.</x:v>
      </x:c>
      <x:c r="G5" s="43" t="str">
        <x:v>During the interview: ask the question naturally and record the answer. After the answer: code the four evidence checks using the Question Guide. Yellow = your input; green/gray = automatic or fixed.</x:v>
      </x:c>
      <x:c r="H5" s="43" t="str">
        <x:v>During the interview: ask the question naturally and record the answer. After the answer: code the four evidence checks using the Question Guide. Yellow = your input; green/gray = automatic or fixed.</x:v>
      </x:c>
      <x:c r="I5" s="43" t="str">
        <x:v>During the interview: ask the question naturally and record the answer. After the answer: code the four evidence checks using the Question Guide. Yellow = your input; green/gray = automatic or fixed.</x:v>
      </x:c>
      <x:c r="J5" s="43" t="str">
        <x:v>During the interview: ask the question naturally and record the answer. After the answer: code the four evidence checks using the Question Guide. Yellow = your input; green/gray = automatic or fixed.</x:v>
      </x:c>
      <x:c r="K5" s="43" t="str">
        <x:v>During the interview: ask the question naturally and record the answer. After the answer: code the four evidence checks using the Question Guide. Yellow = your input; green/gray = automatic or fixed.</x:v>
      </x:c>
      <x:c r="L5" s="43" t="str">
        <x:v>During the interview: ask the question naturally and record the answer. After the answer: code the four evidence checks using the Question Guide. Yellow = your input; green/gray = automatic or fixed.</x:v>
      </x:c>
      <x:c r="M5" s="43" t="str">
        <x:v>During the interview: ask the question naturally and record the answer. After the answer: code the four evidence checks using the Question Guide. Yellow = your input; green/gray = automatic or fixed.</x:v>
      </x:c>
      <x:c r="N5" s="43" t="str">
        <x:v>During the interview: ask the question naturally and record the answer. After the answer: code the four evidence checks using the Question Guide. Yellow = your input; green/gray = automatic or fixed.</x:v>
      </x:c>
      <x:c r="O5" s="43" t="str">
        <x:v>During the interview: ask the question naturally and record the answer. After the answer: code the four evidence checks using the Question Guide. Yellow = your input; green/gray = automatic or fixed.</x:v>
      </x:c>
    </x:row>
    <x:row r="7" ht="48" customHeight="1">
      <x:c r="A7" s="12" t="str">
        <x:v>Q ID</x:v>
      </x:c>
      <x:c r="B7" s="13" t="str">
        <x:v>Domain</x:v>
      </x:c>
      <x:c r="C7" s="13" t="str">
        <x:v>Question to ask</x:v>
      </x:c>
      <x:c r="D7" s="13" t="str">
        <x:v>Suggested probes</x:v>
      </x:c>
      <x:c r="E7" s="13" t="str">
        <x:v>Control being measured</x:v>
      </x:c>
      <x:c r="F7" s="13" t="str">
        <x:v>Response/evidence notes</x:v>
      </x:c>
      <x:c r="G7" s="13" t="str">
        <x:v>Practice exists?</x:v>
      </x:c>
      <x:c r="H7" s="13" t="str">
        <x:v>Documented?</x:v>
      </x:c>
      <x:c r="I7" s="13" t="str">
        <x:v>Implemented?</x:v>
      </x:c>
      <x:c r="J7" s="13" t="str">
        <x:v>Reviewed?</x:v>
      </x:c>
      <x:c r="K7" s="13" t="str">
        <x:v>Evidence basis</x:v>
      </x:c>
      <x:c r="L7" s="13" t="str">
        <x:v>Confidence</x:v>
      </x:c>
      <x:c r="M7" s="13" t="str">
        <x:v>Auto score</x:v>
      </x:c>
      <x:c r="N7" s="13" t="str">
        <x:v>Score meaning</x:v>
      </x:c>
      <x:c r="O7" s="14" t="str">
        <x:v>Barrier/support notes</x:v>
      </x:c>
    </x:row>
    <x:row r="8" ht="92" customHeight="1">
      <x:c r="A8" s="46" t="str">
        <x:v>Q01</x:v>
      </x:c>
      <x:c r="B8" s="46" t="str">
        <x:f>VLOOKUP(A8,'Question Guide'!$A$5:$L$16,2,FALSE)</x:f>
        <x:v>AI use context</x:v>
      </x:c>
      <x:c r="C8" s="46" t="str">
        <x:f>VLOOKUP(A8,'Question Guide'!$A$5:$L$16,3,FALSE)</x:f>
        <x:v>What generative AI tools or use cases is your company exploring or using?</x:v>
      </x:c>
      <x:c r="D8" s="46" t="str">
        <x:f>VLOOKUP(A8,'Question Guide'!$A$5:$L$16,4,FALSE)</x:f>
        <x:v>Who uses them? For what process? What information is involved? When was the list last checked?</x:v>
      </x:c>
      <x:c r="E8" s="46" t="str">
        <x:f>VLOOKUP(A8,'Question Guide'!$A$5:$L$16,5,FALSE)</x:f>
        <x:v>AI use cases are identified, recorded, assigned an owner, and kept current.</x:v>
      </x:c>
      <x:c r="F8" s="27"/>
      <x:c r="G8" s="27"/>
      <x:c r="H8" s="27"/>
      <x:c r="I8" s="27"/>
      <x:c r="J8" s="27"/>
      <x:c r="K8" s="27"/>
      <x:c r="L8" s="27"/>
      <x:c r="M8" s="46" t="str">
        <x:f>IF(G8="","",IF(G8="No",0,IF(G8="Unknown","Needs review",IF(COUNTA(H8:J8)&lt;3,"Incomplete",IF(OR(H8="Unknown",I8="Unknown",J8="Unknown"),"Needs review",IF(AND(H8="Yes",I8="Yes",J8="Yes"),3,IF(AND(H8="Yes",I8="Yes"),2,1)))))))</x:f>
      </x:c>
      <x:c r="N8" s="46" t="str">
        <x:f>IF(ISNUMBER(M8),CHOOSE(M8+1,"Absent/not considered","Informal or ad hoc","Documented and implemented","Managed and reviewed"),M8)</x:f>
      </x:c>
      <x:c r="O8" s="27"/>
    </x:row>
    <x:row r="9" ht="92" customHeight="1">
      <x:c r="A9" s="47" t="str">
        <x:v>Q02</x:v>
      </x:c>
      <x:c r="B9" s="47" t="str">
        <x:f>VLOOKUP(A9,'Question Guide'!$A$5:$L$16,2,FALSE)</x:f>
        <x:v>Accountability and governance</x:v>
      </x:c>
      <x:c r="C9" s="47" t="str">
        <x:f>VLOOKUP(A9,'Question Guide'!$A$5:$L$16,3,FALSE)</x:f>
        <x:v>Who is responsible for approving and overseeing AI use?</x:v>
      </x:c>
      <x:c r="D9" s="47" t="str">
        <x:f>VLOOKUP(A9,'Question Guide'!$A$5:$L$16,4,FALSE)</x:f>
        <x:v>Who can approve, stop, or change a use case? When was this authority last used?</x:v>
      </x:c>
      <x:c r="E9" s="47" t="str">
        <x:f>VLOOKUP(A9,'Question Guide'!$A$5:$L$16,5,FALSE)</x:f>
        <x:v>AI decision rights, ownership, approval, and escalation responsibilities are assigned.</x:v>
      </x:c>
      <x:c r="F9" s="30"/>
      <x:c r="G9" s="30"/>
      <x:c r="H9" s="30"/>
      <x:c r="I9" s="30"/>
      <x:c r="J9" s="30"/>
      <x:c r="K9" s="30"/>
      <x:c r="L9" s="30"/>
      <x:c r="M9" s="47" t="str">
        <x:f>IF(G9="","",IF(G9="No",0,IF(G9="Unknown","Needs review",IF(COUNTA(H9:J9)&lt;3,"Incomplete",IF(OR(H9="Unknown",I9="Unknown",J9="Unknown"),"Needs review",IF(AND(H9="Yes",I9="Yes",J9="Yes"),3,IF(AND(H9="Yes",I9="Yes"),2,1)))))))</x:f>
      </x:c>
      <x:c r="N9" s="47" t="str">
        <x:f>IF(ISNUMBER(M9),CHOOSE(M9+1,"Absent/not considered","Informal or ad hoc","Documented and implemented","Managed and reviewed"),M9)</x:f>
      </x:c>
      <x:c r="O9" s="30"/>
    </x:row>
    <x:row r="10" ht="92" customHeight="1">
      <x:c r="A10" s="47" t="str">
        <x:v>Q03</x:v>
      </x:c>
      <x:c r="B10" s="47" t="str">
        <x:f>VLOOKUP(A10,'Question Guide'!$A$5:$L$16,2,FALSE)</x:f>
        <x:v>Accountability and governance</x:v>
      </x:c>
      <x:c r="C10" s="47" t="str">
        <x:f>VLOOKUP(A10,'Question Guide'!$A$5:$L$16,3,FALSE)</x:f>
        <x:v>Before an AI use case is approved, what risks does the company consider?</x:v>
      </x:c>
      <x:c r="D10" s="47" t="str">
        <x:f>VLOOKUP(A10,'Question Guide'!$A$5:$L$16,4,FALSE)</x:f>
        <x:v>Describe the most recent review. Were sensitive data, customer impact, autonomy, accuracy, and consequences considered?</x:v>
      </x:c>
      <x:c r="E10" s="47" t="str">
        <x:f>VLOOKUP(A10,'Question Guide'!$A$5:$L$16,5,FALSE)</x:f>
        <x:v>AI use cases undergo a risk review before approval and when material changes occur.</x:v>
      </x:c>
      <x:c r="F10" s="30"/>
      <x:c r="G10" s="30"/>
      <x:c r="H10" s="30"/>
      <x:c r="I10" s="30"/>
      <x:c r="J10" s="30"/>
      <x:c r="K10" s="30"/>
      <x:c r="L10" s="30"/>
      <x:c r="M10" s="47" t="str">
        <x:f>IF(G10="","",IF(G10="No",0,IF(G10="Unknown","Needs review",IF(COUNTA(H10:J10)&lt;3,"Incomplete",IF(OR(H10="Unknown",I10="Unknown",J10="Unknown"),"Needs review",IF(AND(H10="Yes",I10="Yes",J10="Yes"),3,IF(AND(H10="Yes",I10="Yes"),2,1)))))))</x:f>
      </x:c>
      <x:c r="N10" s="47" t="str">
        <x:f>IF(ISNUMBER(M10),CHOOSE(M10+1,"Absent/not considered","Informal or ad hoc","Documented and implemented","Managed and reviewed"),M10)</x:f>
      </x:c>
      <x:c r="O10" s="30"/>
    </x:row>
    <x:row r="11" ht="92" customHeight="1">
      <x:c r="A11" s="47" t="str">
        <x:v>Q04</x:v>
      </x:c>
      <x:c r="B11" s="47" t="str">
        <x:f>VLOOKUP(A11,'Question Guide'!$A$5:$L$16,2,FALSE)</x:f>
        <x:v>Data protection</x:v>
      </x:c>
      <x:c r="C11" s="47" t="str">
        <x:f>VLOOKUP(A11,'Question Guide'!$A$5:$L$16,3,FALSE)</x:f>
        <x:v>What information may or may not be entered into generative AI tools?</x:v>
      </x:c>
      <x:c r="D11" s="47" t="str">
        <x:f>VLOOKUP(A11,'Question Guide'!$A$5:$L$16,4,FALSE)</x:f>
        <x:v>How do employees know? Are customer, employee, financial, confidential, or regulated data addressed?</x:v>
      </x:c>
      <x:c r="E11" s="47" t="str">
        <x:f>VLOOKUP(A11,'Question Guide'!$A$5:$L$16,5,FALSE)</x:f>
        <x:v>Rules govern the data employees may enter into AI tools and how AI-generated information may be handled.</x:v>
      </x:c>
      <x:c r="F11" s="30"/>
      <x:c r="G11" s="30"/>
      <x:c r="H11" s="30"/>
      <x:c r="I11" s="30"/>
      <x:c r="J11" s="30"/>
      <x:c r="K11" s="30"/>
      <x:c r="L11" s="30"/>
      <x:c r="M11" s="47" t="str">
        <x:f>IF(G11="","",IF(G11="No",0,IF(G11="Unknown","Needs review",IF(COUNTA(H11:J11)&lt;3,"Incomplete",IF(OR(H11="Unknown",I11="Unknown",J11="Unknown"),"Needs review",IF(AND(H11="Yes",I11="Yes",J11="Yes"),3,IF(AND(H11="Yes",I11="Yes"),2,1)))))))</x:f>
      </x:c>
      <x:c r="N11" s="47" t="str">
        <x:f>IF(ISNUMBER(M11),CHOOSE(M11+1,"Absent/not considered","Informal or ad hoc","Documented and implemented","Managed and reviewed"),M11)</x:f>
      </x:c>
      <x:c r="O11" s="30"/>
    </x:row>
    <x:row r="12" ht="92" customHeight="1">
      <x:c r="A12" s="47" t="str">
        <x:v>Q05</x:v>
      </x:c>
      <x:c r="B12" s="47" t="str">
        <x:f>VLOOKUP(A12,'Question Guide'!$A$5:$L$16,2,FALSE)</x:f>
        <x:v>Third-party management</x:v>
      </x:c>
      <x:c r="C12" s="47" t="str">
        <x:f>VLOOKUP(A12,'Question Guide'!$A$5:$L$16,3,FALSE)</x:f>
        <x:v>How do you decide whether an AI vendor or tool is trustworthy enough to use?</x:v>
      </x:c>
      <x:c r="D12" s="47" t="str">
        <x:f>VLOOKUP(A12,'Question Guide'!$A$5:$L$16,4,FALSE)</x:f>
        <x:v>Do you examine retention, model training, security, subcontractors, location, incident terms, and contracts?</x:v>
      </x:c>
      <x:c r="E12" s="47" t="str">
        <x:f>VLOOKUP(A12,'Question Guide'!$A$5:$L$16,5,FALSE)</x:f>
        <x:v>AI vendors receive risk-based security, privacy, data-use, and contractual review before and during use.</x:v>
      </x:c>
      <x:c r="F12" s="30"/>
      <x:c r="G12" s="30"/>
      <x:c r="H12" s="30"/>
      <x:c r="I12" s="30"/>
      <x:c r="J12" s="30"/>
      <x:c r="K12" s="30"/>
      <x:c r="L12" s="30"/>
      <x:c r="M12" s="47" t="str">
        <x:f>IF(G12="","",IF(G12="No",0,IF(G12="Unknown","Needs review",IF(COUNTA(H12:J12)&lt;3,"Incomplete",IF(OR(H12="Unknown",I12="Unknown",J12="Unknown"),"Needs review",IF(AND(H12="Yes",I12="Yes",J12="Yes"),3,IF(AND(H12="Yes",I12="Yes"),2,1)))))))</x:f>
      </x:c>
      <x:c r="N12" s="47" t="str">
        <x:f>IF(ISNUMBER(M12),CHOOSE(M12+1,"Absent/not considered","Informal or ad hoc","Documented and implemented","Managed and reviewed"),M12)</x:f>
      </x:c>
      <x:c r="O12" s="30"/>
    </x:row>
    <x:row r="13" ht="92" customHeight="1">
      <x:c r="A13" s="47" t="str">
        <x:v>Q06</x:v>
      </x:c>
      <x:c r="B13" s="47" t="str">
        <x:f>VLOOKUP(A13,'Question Guide'!$A$5:$L$16,2,FALSE)</x:f>
        <x:v>Access and integration security</x:v>
      </x:c>
      <x:c r="C13" s="47" t="str">
        <x:f>VLOOKUP(A13,'Question Guide'!$A$5:$L$16,3,FALSE)</x:f>
        <x:v>How is access to AI tools and connected company systems managed?</x:v>
      </x:c>
      <x:c r="D13" s="47" t="str">
        <x:f>VLOOKUP(A13,'Question Guide'!$A$5:$L$16,4,FALSE)</x:f>
        <x:v>Are accounts shared? Is MFA used? What data can the tool retrieve? What actions can it take? What happens when someone leaves?</x:v>
      </x:c>
      <x:c r="E13" s="47" t="str">
        <x:f>VLOOKUP(A13,'Question Guide'!$A$5:$L$16,5,FALSE)</x:f>
        <x:v>AI access and integrations use individual identity, least privilege, controlled permissions, and timely removal.</x:v>
      </x:c>
      <x:c r="F13" s="30"/>
      <x:c r="G13" s="30"/>
      <x:c r="H13" s="30"/>
      <x:c r="I13" s="30"/>
      <x:c r="J13" s="30"/>
      <x:c r="K13" s="30"/>
      <x:c r="L13" s="30"/>
      <x:c r="M13" s="47" t="str">
        <x:f>IF(G13="","",IF(G13="No",0,IF(G13="Unknown","Needs review",IF(COUNTA(H13:J13)&lt;3,"Incomplete",IF(OR(H13="Unknown",I13="Unknown",J13="Unknown"),"Needs review",IF(AND(H13="Yes",I13="Yes",J13="Yes"),3,IF(AND(H13="Yes",I13="Yes"),2,1)))))))</x:f>
      </x:c>
      <x:c r="N13" s="47" t="str">
        <x:f>IF(ISNUMBER(M13),CHOOSE(M13+1,"Absent/not considered","Informal or ad hoc","Documented and implemented","Managed and reviewed"),M13)</x:f>
      </x:c>
      <x:c r="O13" s="30"/>
    </x:row>
    <x:row r="14" ht="92" customHeight="1">
      <x:c r="A14" s="47" t="str">
        <x:v>Q07</x:v>
      </x:c>
      <x:c r="B14" s="47" t="str">
        <x:f>VLOOKUP(A14,'Question Guide'!$A$5:$L$16,2,FALSE)</x:f>
        <x:v>Human oversight</x:v>
      </x:c>
      <x:c r="C14" s="47" t="str">
        <x:f>VLOOKUP(A14,'Question Guide'!$A$5:$L$16,3,FALSE)</x:f>
        <x:v>Which AI-generated outputs or actions require human review?</x:v>
      </x:c>
      <x:c r="D14" s="47" t="str">
        <x:f>VLOOKUP(A14,'Question Guide'!$A$5:$L$16,4,FALSE)</x:f>
        <x:v>Who reviews them? What are they checking? What happens when confidence is low or a customer may be affected?</x:v>
      </x:c>
      <x:c r="E14" s="47" t="str">
        <x:f>VLOOKUP(A14,'Question Guide'!$A$5:$L$16,5,FALSE)</x:f>
        <x:v>Risk-based human review, decision authority, override, and escalation are defined for consequential AI outputs or actions.</x:v>
      </x:c>
      <x:c r="F14" s="30"/>
      <x:c r="G14" s="30"/>
      <x:c r="H14" s="30"/>
      <x:c r="I14" s="30"/>
      <x:c r="J14" s="30"/>
      <x:c r="K14" s="30"/>
      <x:c r="L14" s="30"/>
      <x:c r="M14" s="47" t="str">
        <x:f>IF(G14="","",IF(G14="No",0,IF(G14="Unknown","Needs review",IF(COUNTA(H14:J14)&lt;3,"Incomplete",IF(OR(H14="Unknown",I14="Unknown",J14="Unknown"),"Needs review",IF(AND(H14="Yes",I14="Yes",J14="Yes"),3,IF(AND(H14="Yes",I14="Yes"),2,1)))))))</x:f>
      </x:c>
      <x:c r="N14" s="47" t="str">
        <x:f>IF(ISNUMBER(M14),CHOOSE(M14+1,"Absent/not considered","Informal or ad hoc","Documented and implemented","Managed and reviewed"),M14)</x:f>
      </x:c>
      <x:c r="O14" s="30"/>
    </x:row>
    <x:row r="15" ht="92" customHeight="1">
      <x:c r="A15" s="47" t="str">
        <x:v>Q08</x:v>
      </x:c>
      <x:c r="B15" s="47" t="str">
        <x:f>VLOOKUP(A15,'Question Guide'!$A$5:$L$16,2,FALSE)</x:f>
        <x:v>Testing and assurance</x:v>
      </x:c>
      <x:c r="C15" s="47" t="str">
        <x:f>VLOOKUP(A15,'Question Guide'!$A$5:$L$16,3,FALSE)</x:f>
        <x:v>How do you determine whether an AI system or output is accurate and reliable enough for its intended use?</x:v>
      </x:c>
      <x:c r="D15" s="47" t="str">
        <x:f>VLOOKUP(A15,'Question Guide'!$A$5:$L$16,4,FALSE)</x:f>
        <x:v>What was tested before use? Which failures matter? What acceptance level is required? Is testing repeated after change?</x:v>
      </x:c>
      <x:c r="E15" s="47" t="str">
        <x:f>VLOOKUP(A15,'Question Guide'!$A$5:$L$16,5,FALSE)</x:f>
        <x:v>AI use cases are tested against documented fitness, safety, security, and reliability criteria before use and after material change.</x:v>
      </x:c>
      <x:c r="F15" s="30"/>
      <x:c r="G15" s="30"/>
      <x:c r="H15" s="30"/>
      <x:c r="I15" s="30"/>
      <x:c r="J15" s="30"/>
      <x:c r="K15" s="30"/>
      <x:c r="L15" s="30"/>
      <x:c r="M15" s="47" t="str">
        <x:f>IF(G15="","",IF(G15="No",0,IF(G15="Unknown","Needs review",IF(COUNTA(H15:J15)&lt;3,"Incomplete",IF(OR(H15="Unknown",I15="Unknown",J15="Unknown"),"Needs review",IF(AND(H15="Yes",I15="Yes",J15="Yes"),3,IF(AND(H15="Yes",I15="Yes"),2,1)))))))</x:f>
      </x:c>
      <x:c r="N15" s="47" t="str">
        <x:f>IF(ISNUMBER(M15),CHOOSE(M15+1,"Absent/not considered","Informal or ad hoc","Documented and implemented","Managed and reviewed"),M15)</x:f>
      </x:c>
      <x:c r="O15" s="30"/>
    </x:row>
    <x:row r="16" ht="92" customHeight="1">
      <x:c r="A16" s="47" t="str">
        <x:v>Q09</x:v>
      </x:c>
      <x:c r="B16" s="47" t="str">
        <x:f>VLOOKUP(A16,'Question Guide'!$A$5:$L$16,2,FALSE)</x:f>
        <x:v>Monitoring and change</x:v>
      </x:c>
      <x:c r="C16" s="47" t="str">
        <x:f>VLOOKUP(A16,'Question Guide'!$A$5:$L$16,3,FALSE)</x:f>
        <x:v>After an AI use case goes live, how do you know it continues to operate safely and as intended?</x:v>
      </x:c>
      <x:c r="D16" s="47" t="str">
        <x:f>VLOOKUP(A16,'Question Guide'!$A$5:$L$16,4,FALSE)</x:f>
        <x:v>What is logged? Who reviews errors, complaints, vendor changes, unusual behavior, or declining quality?</x:v>
      </x:c>
      <x:c r="E16" s="47" t="str">
        <x:f>VLOOKUP(A16,'Question Guide'!$A$5:$L$16,5,FALSE)</x:f>
        <x:v>Operational AI use is monitored using assigned metrics, logs, issues, thresholds, and change triggers.</x:v>
      </x:c>
      <x:c r="F16" s="30"/>
      <x:c r="G16" s="30"/>
      <x:c r="H16" s="30"/>
      <x:c r="I16" s="30"/>
      <x:c r="J16" s="30"/>
      <x:c r="K16" s="30"/>
      <x:c r="L16" s="30"/>
      <x:c r="M16" s="47" t="str">
        <x:f>IF(G16="","",IF(G16="No",0,IF(G16="Unknown","Needs review",IF(COUNTA(H16:J16)&lt;3,"Incomplete",IF(OR(H16="Unknown",I16="Unknown",J16="Unknown"),"Needs review",IF(AND(H16="Yes",I16="Yes",J16="Yes"),3,IF(AND(H16="Yes",I16="Yes"),2,1)))))))</x:f>
      </x:c>
      <x:c r="N16" s="47" t="str">
        <x:f>IF(ISNUMBER(M16),CHOOSE(M16+1,"Absent/not considered","Informal or ad hoc","Documented and implemented","Managed and reviewed"),M16)</x:f>
      </x:c>
      <x:c r="O16" s="30"/>
    </x:row>
    <x:row r="17" ht="92" customHeight="1">
      <x:c r="A17" s="47" t="str">
        <x:v>Q10</x:v>
      </x:c>
      <x:c r="B17" s="47" t="str">
        <x:f>VLOOKUP(A17,'Question Guide'!$A$5:$L$16,2,FALSE)</x:f>
        <x:v>Incident response</x:v>
      </x:c>
      <x:c r="C17" s="47" t="str">
        <x:f>VLOOKUP(A17,'Question Guide'!$A$5:$L$16,3,FALSE)</x:f>
        <x:v>What would happen if an AI tool exposed sensitive information, produced harmful content, or took an unintended action?</x:v>
      </x:c>
      <x:c r="D17" s="47" t="str">
        <x:f>VLOOKUP(A17,'Question Guide'!$A$5:$L$16,4,FALSE)</x:f>
        <x:v>Who is notified? Can use be suspended? Is the vendor contacted? Has an AI scenario been exercised?</x:v>
      </x:c>
      <x:c r="E17" s="47" t="str">
        <x:f>VLOOKUP(A17,'Question Guide'!$A$5:$L$16,5,FALSE)</x:f>
        <x:v>AI-related events can be identified, contained, escalated, reported, investigated, and used to improve controls.</x:v>
      </x:c>
      <x:c r="F17" s="30"/>
      <x:c r="G17" s="30"/>
      <x:c r="H17" s="30"/>
      <x:c r="I17" s="30"/>
      <x:c r="J17" s="30"/>
      <x:c r="K17" s="30"/>
      <x:c r="L17" s="30"/>
      <x:c r="M17" s="47" t="str">
        <x:f>IF(G17="","",IF(G17="No",0,IF(G17="Unknown","Needs review",IF(COUNTA(H17:J17)&lt;3,"Incomplete",IF(OR(H17="Unknown",I17="Unknown",J17="Unknown"),"Needs review",IF(AND(H17="Yes",I17="Yes",J17="Yes"),3,IF(AND(H17="Yes",I17="Yes"),2,1)))))))</x:f>
      </x:c>
      <x:c r="N17" s="47" t="str">
        <x:f>IF(ISNUMBER(M17),CHOOSE(M17+1,"Absent/not considered","Informal or ad hoc","Documented and implemented","Managed and reviewed"),M17)</x:f>
      </x:c>
      <x:c r="O17" s="30"/>
    </x:row>
    <x:row r="18" ht="92" customHeight="1">
      <x:c r="A18" s="47" t="str">
        <x:v>Q11</x:v>
      </x:c>
      <x:c r="B18" s="47" t="str">
        <x:f>VLOOKUP(A18,'Question Guide'!$A$5:$L$16,2,FALSE)</x:f>
        <x:v>People and policy</x:v>
      </x:c>
      <x:c r="C18" s="47" t="str">
        <x:f>VLOOKUP(A18,'Question Guide'!$A$5:$L$16,3,FALSE)</x:f>
        <x:v>What guidance or training have employees received about responsible and secure AI use?</x:v>
      </x:c>
      <x:c r="D18" s="47" t="str">
        <x:f>VLOOKUP(A18,'Question Guide'!$A$5:$L$16,4,FALSE)</x:f>
        <x:v>Is it required? Does it cover approved tools, data, verification, disclosure, and reporting? How is it updated?</x:v>
      </x:c>
      <x:c r="E18" s="47" t="str">
        <x:f>VLOOKUP(A18,'Question Guide'!$A$5:$L$16,5,FALSE)</x:f>
        <x:v>Employees receive role-relevant AI policy, guidance, and awareness that are maintained as risks and use cases change.</x:v>
      </x:c>
      <x:c r="F18" s="30"/>
      <x:c r="G18" s="30"/>
      <x:c r="H18" s="30"/>
      <x:c r="I18" s="30"/>
      <x:c r="J18" s="30"/>
      <x:c r="K18" s="30"/>
      <x:c r="L18" s="30"/>
      <x:c r="M18" s="47" t="str">
        <x:f>IF(G18="","",IF(G18="No",0,IF(G18="Unknown","Needs review",IF(COUNTA(H18:J18)&lt;3,"Incomplete",IF(OR(H18="Unknown",I18="Unknown",J18="Unknown"),"Needs review",IF(AND(H18="Yes",I18="Yes",J18="Yes"),3,IF(AND(H18="Yes",I18="Yes"),2,1)))))))</x:f>
      </x:c>
      <x:c r="N18" s="47" t="str">
        <x:f>IF(ISNUMBER(M18),CHOOSE(M18+1,"Absent/not considered","Informal or ad hoc","Documented and implemented","Managed and reviewed"),M18)</x:f>
      </x:c>
      <x:c r="O18" s="30"/>
    </x:row>
    <x:row r="19" ht="92" customHeight="1">
      <x:c r="A19" s="47" t="str">
        <x:v>Q12</x:v>
      </x:c>
      <x:c r="B19" s="47" t="str">
        <x:f>VLOOKUP(A19,'Question Guide'!$A$5:$L$16,2,FALSE)</x:f>
        <x:v>Barriers and support</x:v>
      </x:c>
      <x:c r="C19" s="47" t="str">
        <x:f>VLOOKUP(A19,'Question Guide'!$A$5:$L$16,3,FALSE)</x:f>
        <x:v>What makes AI governance or cybersecurity difficult for your company, and what practical support would help?</x:v>
      </x:c>
      <x:c r="D19" s="47" t="str">
        <x:f>VLOOKUP(A19,'Question Guide'!$A$5:$L$16,4,FALSE)</x:f>
        <x:v>Probe for cost, time, skills, leadership priority, vendor information, unclear guidance, templates, training, assessments, or specialist advice.</x:v>
      </x:c>
      <x:c r="E19" s="47" t="str">
        <x:f>VLOOKUP(A19,'Question Guide'!$A$5:$L$16,5,FALSE)</x:f>
        <x:v>Qualitative context is collected to explain readiness results and identify practical support needs.</x:v>
      </x:c>
      <x:c r="F19" s="30"/>
      <x:c r="G19" s="64" t="str">
        <x:v>N/A</x:v>
      </x:c>
      <x:c r="H19" s="64" t="str">
        <x:v>N/A</x:v>
      </x:c>
      <x:c r="I19" s="64" t="str">
        <x:v>N/A</x:v>
      </x:c>
      <x:c r="J19" s="64" t="str">
        <x:v>N/A</x:v>
      </x:c>
      <x:c r="K19" s="30"/>
      <x:c r="L19" s="30"/>
      <x:c r="M19" s="65" t="str">
        <x:v>N/A</x:v>
      </x:c>
      <x:c r="N19" s="65" t="str">
        <x:v>Qualitative question — not scored</x:v>
      </x:c>
      <x:c r="O19" s="30"/>
    </x:row>
  </x:sheetData>
  <x:mergeCells>
    <x:mergeCell ref="A1:O1"/>
    <x:mergeCell ref="A5:O5"/>
  </x:mergeCells>
  <x:conditionalFormatting sqref="M8:M18">
    <x:cfRule type="cellIs" dxfId="20" priority="1" operator="equal">
      <x:formula>0</x:formula>
    </x:cfRule>
    <x:cfRule type="cellIs" dxfId="21" priority="2" operator="equal">
      <x:formula>1</x:formula>
    </x:cfRule>
    <x:cfRule type="cellIs" dxfId="22" priority="3" operator="equal">
      <x:formula>2</x:formula>
    </x:cfRule>
    <x:cfRule type="cellIs" dxfId="23" priority="4" operator="equal">
      <x:formula>3</x:formula>
    </x:cfRule>
  </x:conditionalFormatting>
  <x:dataValidations count="11">
    <x:dataValidation type="list" sqref="B2">
      <x:formula1>"SAIA,SCCCI,Both"</x:formula1>
    </x:dataValidation>
    <x:dataValidation type="list" sqref="F2">
      <x:formula1>"1–9,10–49,50–99,100–199,200+"</x:formula1>
    </x:dataValidation>
    <x:dataValidation type="list" sqref="H2">
      <x:formula1>"Exploring,Piloting,Operational use"</x:formula1>
    </x:dataValidation>
    <x:dataValidation type="list" sqref="D3">
      <x:formula1>"Lower,Moderate,Higher,To be assessed"</x:formula1>
    </x:dataValidation>
    <x:dataValidation type="list" sqref="H3">
      <x:formula1>"Yes,No"</x:formula1>
    </x:dataValidation>
    <x:dataValidation type="list" sqref="G8:G18">
      <x:formula1>"Yes,No,Unknown"</x:formula1>
    </x:dataValidation>
    <x:dataValidation type="list" sqref="H8:H18">
      <x:formula1>"Yes,No,Unknown"</x:formula1>
    </x:dataValidation>
    <x:dataValidation type="list" sqref="I8:I18">
      <x:formula1>"Yes,No,Unknown"</x:formula1>
    </x:dataValidation>
    <x:dataValidation type="list" sqref="J8:J18">
      <x:formula1>"Yes,No,Unknown"</x:formula1>
    </x:dataValidation>
    <x:dataValidation type="list" sqref="K8:K19">
      <x:formula1>"Statement only,Specific example described,Document described,Document observed,System evidence observed"</x:formula1>
    </x:dataValidation>
    <x:dataValidation type="list" sqref="L8:L19">
      <x:formula1>"Low,Medium,High"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4" hidden="0" customWidth="1"/>
    <x:col min="3" max="3" width="42" hidden="0" customWidth="1"/>
    <x:col min="4" max="4" width="43" hidden="0" customWidth="1"/>
    <x:col min="5" max="5" width="44" hidden="0" customWidth="1"/>
    <x:col min="6" max="6" width="58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24" hidden="0" customWidth="1"/>
    <x:col min="12" max="12" width="14" hidden="0" customWidth="1"/>
    <x:col min="13" max="13" width="14" hidden="0" customWidth="1"/>
    <x:col min="14" max="14" width="31" hidden="0" customWidth="1"/>
    <x:col min="15" max="15" width="36" hidden="0" customWidth="1"/>
  </x:cols>
  <x:sheetData>
    <x:row r="1" ht="36" customHeight="1">
      <x:c r="A1" s="3" t="str">
        <x:v>SME-07 — AI governance and cybersecurity interview form</x:v>
      </x:c>
      <x:c r="B1" s="3" t="str">
        <x:v>SME-07 — AI governance and cybersecurity interview form</x:v>
      </x:c>
      <x:c r="C1" s="3" t="str">
        <x:v>SME-07 — AI governance and cybersecurity interview form</x:v>
      </x:c>
      <x:c r="D1" s="3" t="str">
        <x:v>SME-07 — AI governance and cybersecurity interview form</x:v>
      </x:c>
      <x:c r="E1" s="3" t="str">
        <x:v>SME-07 — AI governance and cybersecurity interview form</x:v>
      </x:c>
      <x:c r="F1" s="3" t="str">
        <x:v>SME-07 — AI governance and cybersecurity interview form</x:v>
      </x:c>
      <x:c r="G1" s="3" t="str">
        <x:v>SME-07 — AI governance and cybersecurity interview form</x:v>
      </x:c>
      <x:c r="H1" s="3" t="str">
        <x:v>SME-07 — AI governance and cybersecurity interview form</x:v>
      </x:c>
      <x:c r="I1" s="3" t="str">
        <x:v>SME-07 — AI governance and cybersecurity interview form</x:v>
      </x:c>
      <x:c r="J1" s="3" t="str">
        <x:v>SME-07 — AI governance and cybersecurity interview form</x:v>
      </x:c>
      <x:c r="K1" s="3" t="str">
        <x:v>SME-07 — AI governance and cybersecurity interview form</x:v>
      </x:c>
      <x:c r="L1" s="3" t="str">
        <x:v>SME-07 — AI governance and cybersecurity interview form</x:v>
      </x:c>
      <x:c r="M1" s="3" t="str">
        <x:v>SME-07 — AI governance and cybersecurity interview form</x:v>
      </x:c>
      <x:c r="N1" s="3" t="str">
        <x:v>SME-07 — AI governance and cybersecurity interview form</x:v>
      </x:c>
      <x:c r="O1" s="3" t="str">
        <x:v>SME-07 — AI governance and cybersecurity interview form</x:v>
      </x:c>
    </x:row>
    <x:row r="2">
      <x:c r="A2" s="51" t="str">
        <x:v>Recruitment channel</x:v>
      </x:c>
      <x:c r="B2" s="27" t="str"/>
      <x:c r="C2" s="51" t="str">
        <x:v>Sector</x:v>
      </x:c>
      <x:c r="D2" s="27" t="str"/>
      <x:c r="E2" s="51" t="str">
        <x:v>Employee range</x:v>
      </x:c>
      <x:c r="F2" s="27" t="str"/>
      <x:c r="G2" s="51" t="str">
        <x:v>AI adoption stage</x:v>
      </x:c>
      <x:c r="H2" s="27" t="str"/>
      <x:c r="I2" s="51" t="str">
        <x:v>Interview date</x:v>
      </x:c>
      <x:c r="J2" s="53" t="str"/>
    </x:row>
    <x:row r="3">
      <x:c r="A3" s="52" t="str">
        <x:v>Primary GenAI use case</x:v>
      </x:c>
      <x:c r="B3" s="30" t="str"/>
      <x:c r="C3" s="52" t="str">
        <x:v>Risk exposure</x:v>
      </x:c>
      <x:c r="D3" s="30" t="str"/>
      <x:c r="E3" s="52" t="str">
        <x:v>Respondent role</x:v>
      </x:c>
      <x:c r="F3" s="30" t="str"/>
      <x:c r="G3" s="52" t="str">
        <x:v>Consent confirmed?</x:v>
      </x:c>
      <x:c r="H3" s="30" t="str"/>
      <x:c r="I3" s="52" t="str">
        <x:v>Interviewer</x:v>
      </x:c>
      <x:c r="J3" s="30" t="str">
        <x:v>Maria Singh</x:v>
      </x:c>
    </x:row>
    <x:row r="5" ht="38" customHeight="1">
      <x:c r="A5" s="43" t="str">
        <x:v>During the interview: ask the question naturally and record the answer. After the answer: code the four evidence checks using the Question Guide. Yellow = your input; green/gray = automatic or fixed.</x:v>
      </x:c>
      <x:c r="B5" s="43" t="str">
        <x:v>During the interview: ask the question naturally and record the answer. After the answer: code the four evidence checks using the Question Guide. Yellow = your input; green/gray = automatic or fixed.</x:v>
      </x:c>
      <x:c r="C5" s="43" t="str">
        <x:v>During the interview: ask the question naturally and record the answer. After the answer: code the four evidence checks using the Question Guide. Yellow = your input; green/gray = automatic or fixed.</x:v>
      </x:c>
      <x:c r="D5" s="43" t="str">
        <x:v>During the interview: ask the question naturally and record the answer. After the answer: code the four evidence checks using the Question Guide. Yellow = your input; green/gray = automatic or fixed.</x:v>
      </x:c>
      <x:c r="E5" s="43" t="str">
        <x:v>During the interview: ask the question naturally and record the answer. After the answer: code the four evidence checks using the Question Guide. Yellow = your input; green/gray = automatic or fixed.</x:v>
      </x:c>
      <x:c r="F5" s="43" t="str">
        <x:v>During the interview: ask the question naturally and record the answer. After the answer: code the four evidence checks using the Question Guide. Yellow = your input; green/gray = automatic or fixed.</x:v>
      </x:c>
      <x:c r="G5" s="43" t="str">
        <x:v>During the interview: ask the question naturally and record the answer. After the answer: code the four evidence checks using the Question Guide. Yellow = your input; green/gray = automatic or fixed.</x:v>
      </x:c>
      <x:c r="H5" s="43" t="str">
        <x:v>During the interview: ask the question naturally and record the answer. After the answer: code the four evidence checks using the Question Guide. Yellow = your input; green/gray = automatic or fixed.</x:v>
      </x:c>
      <x:c r="I5" s="43" t="str">
        <x:v>During the interview: ask the question naturally and record the answer. After the answer: code the four evidence checks using the Question Guide. Yellow = your input; green/gray = automatic or fixed.</x:v>
      </x:c>
      <x:c r="J5" s="43" t="str">
        <x:v>During the interview: ask the question naturally and record the answer. After the answer: code the four evidence checks using the Question Guide. Yellow = your input; green/gray = automatic or fixed.</x:v>
      </x:c>
      <x:c r="K5" s="43" t="str">
        <x:v>During the interview: ask the question naturally and record the answer. After the answer: code the four evidence checks using the Question Guide. Yellow = your input; green/gray = automatic or fixed.</x:v>
      </x:c>
      <x:c r="L5" s="43" t="str">
        <x:v>During the interview: ask the question naturally and record the answer. After the answer: code the four evidence checks using the Question Guide. Yellow = your input; green/gray = automatic or fixed.</x:v>
      </x:c>
      <x:c r="M5" s="43" t="str">
        <x:v>During the interview: ask the question naturally and record the answer. After the answer: code the four evidence checks using the Question Guide. Yellow = your input; green/gray = automatic or fixed.</x:v>
      </x:c>
      <x:c r="N5" s="43" t="str">
        <x:v>During the interview: ask the question naturally and record the answer. After the answer: code the four evidence checks using the Question Guide. Yellow = your input; green/gray = automatic or fixed.</x:v>
      </x:c>
      <x:c r="O5" s="43" t="str">
        <x:v>During the interview: ask the question naturally and record the answer. After the answer: code the four evidence checks using the Question Guide. Yellow = your input; green/gray = automatic or fixed.</x:v>
      </x:c>
    </x:row>
    <x:row r="7" ht="48" customHeight="1">
      <x:c r="A7" s="12" t="str">
        <x:v>Q ID</x:v>
      </x:c>
      <x:c r="B7" s="13" t="str">
        <x:v>Domain</x:v>
      </x:c>
      <x:c r="C7" s="13" t="str">
        <x:v>Question to ask</x:v>
      </x:c>
      <x:c r="D7" s="13" t="str">
        <x:v>Suggested probes</x:v>
      </x:c>
      <x:c r="E7" s="13" t="str">
        <x:v>Control being measured</x:v>
      </x:c>
      <x:c r="F7" s="13" t="str">
        <x:v>Response/evidence notes</x:v>
      </x:c>
      <x:c r="G7" s="13" t="str">
        <x:v>Practice exists?</x:v>
      </x:c>
      <x:c r="H7" s="13" t="str">
        <x:v>Documented?</x:v>
      </x:c>
      <x:c r="I7" s="13" t="str">
        <x:v>Implemented?</x:v>
      </x:c>
      <x:c r="J7" s="13" t="str">
        <x:v>Reviewed?</x:v>
      </x:c>
      <x:c r="K7" s="13" t="str">
        <x:v>Evidence basis</x:v>
      </x:c>
      <x:c r="L7" s="13" t="str">
        <x:v>Confidence</x:v>
      </x:c>
      <x:c r="M7" s="13" t="str">
        <x:v>Auto score</x:v>
      </x:c>
      <x:c r="N7" s="13" t="str">
        <x:v>Score meaning</x:v>
      </x:c>
      <x:c r="O7" s="14" t="str">
        <x:v>Barrier/support notes</x:v>
      </x:c>
    </x:row>
    <x:row r="8" ht="92" customHeight="1">
      <x:c r="A8" s="46" t="str">
        <x:v>Q01</x:v>
      </x:c>
      <x:c r="B8" s="46" t="str">
        <x:f>VLOOKUP(A8,'Question Guide'!$A$5:$L$16,2,FALSE)</x:f>
        <x:v>AI use context</x:v>
      </x:c>
      <x:c r="C8" s="46" t="str">
        <x:f>VLOOKUP(A8,'Question Guide'!$A$5:$L$16,3,FALSE)</x:f>
        <x:v>What generative AI tools or use cases is your company exploring or using?</x:v>
      </x:c>
      <x:c r="D8" s="46" t="str">
        <x:f>VLOOKUP(A8,'Question Guide'!$A$5:$L$16,4,FALSE)</x:f>
        <x:v>Who uses them? For what process? What information is involved? When was the list last checked?</x:v>
      </x:c>
      <x:c r="E8" s="46" t="str">
        <x:f>VLOOKUP(A8,'Question Guide'!$A$5:$L$16,5,FALSE)</x:f>
        <x:v>AI use cases are identified, recorded, assigned an owner, and kept current.</x:v>
      </x:c>
      <x:c r="F8" s="27"/>
      <x:c r="G8" s="27"/>
      <x:c r="H8" s="27"/>
      <x:c r="I8" s="27"/>
      <x:c r="J8" s="27"/>
      <x:c r="K8" s="27"/>
      <x:c r="L8" s="27"/>
      <x:c r="M8" s="46" t="str">
        <x:f>IF(G8="","",IF(G8="No",0,IF(G8="Unknown","Needs review",IF(COUNTA(H8:J8)&lt;3,"Incomplete",IF(OR(H8="Unknown",I8="Unknown",J8="Unknown"),"Needs review",IF(AND(H8="Yes",I8="Yes",J8="Yes"),3,IF(AND(H8="Yes",I8="Yes"),2,1)))))))</x:f>
      </x:c>
      <x:c r="N8" s="46" t="str">
        <x:f>IF(ISNUMBER(M8),CHOOSE(M8+1,"Absent/not considered","Informal or ad hoc","Documented and implemented","Managed and reviewed"),M8)</x:f>
      </x:c>
      <x:c r="O8" s="27"/>
    </x:row>
    <x:row r="9" ht="92" customHeight="1">
      <x:c r="A9" s="47" t="str">
        <x:v>Q02</x:v>
      </x:c>
      <x:c r="B9" s="47" t="str">
        <x:f>VLOOKUP(A9,'Question Guide'!$A$5:$L$16,2,FALSE)</x:f>
        <x:v>Accountability and governance</x:v>
      </x:c>
      <x:c r="C9" s="47" t="str">
        <x:f>VLOOKUP(A9,'Question Guide'!$A$5:$L$16,3,FALSE)</x:f>
        <x:v>Who is responsible for approving and overseeing AI use?</x:v>
      </x:c>
      <x:c r="D9" s="47" t="str">
        <x:f>VLOOKUP(A9,'Question Guide'!$A$5:$L$16,4,FALSE)</x:f>
        <x:v>Who can approve, stop, or change a use case? When was this authority last used?</x:v>
      </x:c>
      <x:c r="E9" s="47" t="str">
        <x:f>VLOOKUP(A9,'Question Guide'!$A$5:$L$16,5,FALSE)</x:f>
        <x:v>AI decision rights, ownership, approval, and escalation responsibilities are assigned.</x:v>
      </x:c>
      <x:c r="F9" s="30"/>
      <x:c r="G9" s="30"/>
      <x:c r="H9" s="30"/>
      <x:c r="I9" s="30"/>
      <x:c r="J9" s="30"/>
      <x:c r="K9" s="30"/>
      <x:c r="L9" s="30"/>
      <x:c r="M9" s="47" t="str">
        <x:f>IF(G9="","",IF(G9="No",0,IF(G9="Unknown","Needs review",IF(COUNTA(H9:J9)&lt;3,"Incomplete",IF(OR(H9="Unknown",I9="Unknown",J9="Unknown"),"Needs review",IF(AND(H9="Yes",I9="Yes",J9="Yes"),3,IF(AND(H9="Yes",I9="Yes"),2,1)))))))</x:f>
      </x:c>
      <x:c r="N9" s="47" t="str">
        <x:f>IF(ISNUMBER(M9),CHOOSE(M9+1,"Absent/not considered","Informal or ad hoc","Documented and implemented","Managed and reviewed"),M9)</x:f>
      </x:c>
      <x:c r="O9" s="30"/>
    </x:row>
    <x:row r="10" ht="92" customHeight="1">
      <x:c r="A10" s="47" t="str">
        <x:v>Q03</x:v>
      </x:c>
      <x:c r="B10" s="47" t="str">
        <x:f>VLOOKUP(A10,'Question Guide'!$A$5:$L$16,2,FALSE)</x:f>
        <x:v>Accountability and governance</x:v>
      </x:c>
      <x:c r="C10" s="47" t="str">
        <x:f>VLOOKUP(A10,'Question Guide'!$A$5:$L$16,3,FALSE)</x:f>
        <x:v>Before an AI use case is approved, what risks does the company consider?</x:v>
      </x:c>
      <x:c r="D10" s="47" t="str">
        <x:f>VLOOKUP(A10,'Question Guide'!$A$5:$L$16,4,FALSE)</x:f>
        <x:v>Describe the most recent review. Were sensitive data, customer impact, autonomy, accuracy, and consequences considered?</x:v>
      </x:c>
      <x:c r="E10" s="47" t="str">
        <x:f>VLOOKUP(A10,'Question Guide'!$A$5:$L$16,5,FALSE)</x:f>
        <x:v>AI use cases undergo a risk review before approval and when material changes occur.</x:v>
      </x:c>
      <x:c r="F10" s="30"/>
      <x:c r="G10" s="30"/>
      <x:c r="H10" s="30"/>
      <x:c r="I10" s="30"/>
      <x:c r="J10" s="30"/>
      <x:c r="K10" s="30"/>
      <x:c r="L10" s="30"/>
      <x:c r="M10" s="47" t="str">
        <x:f>IF(G10="","",IF(G10="No",0,IF(G10="Unknown","Needs review",IF(COUNTA(H10:J10)&lt;3,"Incomplete",IF(OR(H10="Unknown",I10="Unknown",J10="Unknown"),"Needs review",IF(AND(H10="Yes",I10="Yes",J10="Yes"),3,IF(AND(H10="Yes",I10="Yes"),2,1)))))))</x:f>
      </x:c>
      <x:c r="N10" s="47" t="str">
        <x:f>IF(ISNUMBER(M10),CHOOSE(M10+1,"Absent/not considered","Informal or ad hoc","Documented and implemented","Managed and reviewed"),M10)</x:f>
      </x:c>
      <x:c r="O10" s="30"/>
    </x:row>
    <x:row r="11" ht="92" customHeight="1">
      <x:c r="A11" s="47" t="str">
        <x:v>Q04</x:v>
      </x:c>
      <x:c r="B11" s="47" t="str">
        <x:f>VLOOKUP(A11,'Question Guide'!$A$5:$L$16,2,FALSE)</x:f>
        <x:v>Data protection</x:v>
      </x:c>
      <x:c r="C11" s="47" t="str">
        <x:f>VLOOKUP(A11,'Question Guide'!$A$5:$L$16,3,FALSE)</x:f>
        <x:v>What information may or may not be entered into generative AI tools?</x:v>
      </x:c>
      <x:c r="D11" s="47" t="str">
        <x:f>VLOOKUP(A11,'Question Guide'!$A$5:$L$16,4,FALSE)</x:f>
        <x:v>How do employees know? Are customer, employee, financial, confidential, or regulated data addressed?</x:v>
      </x:c>
      <x:c r="E11" s="47" t="str">
        <x:f>VLOOKUP(A11,'Question Guide'!$A$5:$L$16,5,FALSE)</x:f>
        <x:v>Rules govern the data employees may enter into AI tools and how AI-generated information may be handled.</x:v>
      </x:c>
      <x:c r="F11" s="30"/>
      <x:c r="G11" s="30"/>
      <x:c r="H11" s="30"/>
      <x:c r="I11" s="30"/>
      <x:c r="J11" s="30"/>
      <x:c r="K11" s="30"/>
      <x:c r="L11" s="30"/>
      <x:c r="M11" s="47" t="str">
        <x:f>IF(G11="","",IF(G11="No",0,IF(G11="Unknown","Needs review",IF(COUNTA(H11:J11)&lt;3,"Incomplete",IF(OR(H11="Unknown",I11="Unknown",J11="Unknown"),"Needs review",IF(AND(H11="Yes",I11="Yes",J11="Yes"),3,IF(AND(H11="Yes",I11="Yes"),2,1)))))))</x:f>
      </x:c>
      <x:c r="N11" s="47" t="str">
        <x:f>IF(ISNUMBER(M11),CHOOSE(M11+1,"Absent/not considered","Informal or ad hoc","Documented and implemented","Managed and reviewed"),M11)</x:f>
      </x:c>
      <x:c r="O11" s="30"/>
    </x:row>
    <x:row r="12" ht="92" customHeight="1">
      <x:c r="A12" s="47" t="str">
        <x:v>Q05</x:v>
      </x:c>
      <x:c r="B12" s="47" t="str">
        <x:f>VLOOKUP(A12,'Question Guide'!$A$5:$L$16,2,FALSE)</x:f>
        <x:v>Third-party management</x:v>
      </x:c>
      <x:c r="C12" s="47" t="str">
        <x:f>VLOOKUP(A12,'Question Guide'!$A$5:$L$16,3,FALSE)</x:f>
        <x:v>How do you decide whether an AI vendor or tool is trustworthy enough to use?</x:v>
      </x:c>
      <x:c r="D12" s="47" t="str">
        <x:f>VLOOKUP(A12,'Question Guide'!$A$5:$L$16,4,FALSE)</x:f>
        <x:v>Do you examine retention, model training, security, subcontractors, location, incident terms, and contracts?</x:v>
      </x:c>
      <x:c r="E12" s="47" t="str">
        <x:f>VLOOKUP(A12,'Question Guide'!$A$5:$L$16,5,FALSE)</x:f>
        <x:v>AI vendors receive risk-based security, privacy, data-use, and contractual review before and during use.</x:v>
      </x:c>
      <x:c r="F12" s="30"/>
      <x:c r="G12" s="30"/>
      <x:c r="H12" s="30"/>
      <x:c r="I12" s="30"/>
      <x:c r="J12" s="30"/>
      <x:c r="K12" s="30"/>
      <x:c r="L12" s="30"/>
      <x:c r="M12" s="47" t="str">
        <x:f>IF(G12="","",IF(G12="No",0,IF(G12="Unknown","Needs review",IF(COUNTA(H12:J12)&lt;3,"Incomplete",IF(OR(H12="Unknown",I12="Unknown",J12="Unknown"),"Needs review",IF(AND(H12="Yes",I12="Yes",J12="Yes"),3,IF(AND(H12="Yes",I12="Yes"),2,1)))))))</x:f>
      </x:c>
      <x:c r="N12" s="47" t="str">
        <x:f>IF(ISNUMBER(M12),CHOOSE(M12+1,"Absent/not considered","Informal or ad hoc","Documented and implemented","Managed and reviewed"),M12)</x:f>
      </x:c>
      <x:c r="O12" s="30"/>
    </x:row>
    <x:row r="13" ht="92" customHeight="1">
      <x:c r="A13" s="47" t="str">
        <x:v>Q06</x:v>
      </x:c>
      <x:c r="B13" s="47" t="str">
        <x:f>VLOOKUP(A13,'Question Guide'!$A$5:$L$16,2,FALSE)</x:f>
        <x:v>Access and integration security</x:v>
      </x:c>
      <x:c r="C13" s="47" t="str">
        <x:f>VLOOKUP(A13,'Question Guide'!$A$5:$L$16,3,FALSE)</x:f>
        <x:v>How is access to AI tools and connected company systems managed?</x:v>
      </x:c>
      <x:c r="D13" s="47" t="str">
        <x:f>VLOOKUP(A13,'Question Guide'!$A$5:$L$16,4,FALSE)</x:f>
        <x:v>Are accounts shared? Is MFA used? What data can the tool retrieve? What actions can it take? What happens when someone leaves?</x:v>
      </x:c>
      <x:c r="E13" s="47" t="str">
        <x:f>VLOOKUP(A13,'Question Guide'!$A$5:$L$16,5,FALSE)</x:f>
        <x:v>AI access and integrations use individual identity, least privilege, controlled permissions, and timely removal.</x:v>
      </x:c>
      <x:c r="F13" s="30"/>
      <x:c r="G13" s="30"/>
      <x:c r="H13" s="30"/>
      <x:c r="I13" s="30"/>
      <x:c r="J13" s="30"/>
      <x:c r="K13" s="30"/>
      <x:c r="L13" s="30"/>
      <x:c r="M13" s="47" t="str">
        <x:f>IF(G13="","",IF(G13="No",0,IF(G13="Unknown","Needs review",IF(COUNTA(H13:J13)&lt;3,"Incomplete",IF(OR(H13="Unknown",I13="Unknown",J13="Unknown"),"Needs review",IF(AND(H13="Yes",I13="Yes",J13="Yes"),3,IF(AND(H13="Yes",I13="Yes"),2,1)))))))</x:f>
      </x:c>
      <x:c r="N13" s="47" t="str">
        <x:f>IF(ISNUMBER(M13),CHOOSE(M13+1,"Absent/not considered","Informal or ad hoc","Documented and implemented","Managed and reviewed"),M13)</x:f>
      </x:c>
      <x:c r="O13" s="30"/>
    </x:row>
    <x:row r="14" ht="92" customHeight="1">
      <x:c r="A14" s="47" t="str">
        <x:v>Q07</x:v>
      </x:c>
      <x:c r="B14" s="47" t="str">
        <x:f>VLOOKUP(A14,'Question Guide'!$A$5:$L$16,2,FALSE)</x:f>
        <x:v>Human oversight</x:v>
      </x:c>
      <x:c r="C14" s="47" t="str">
        <x:f>VLOOKUP(A14,'Question Guide'!$A$5:$L$16,3,FALSE)</x:f>
        <x:v>Which AI-generated outputs or actions require human review?</x:v>
      </x:c>
      <x:c r="D14" s="47" t="str">
        <x:f>VLOOKUP(A14,'Question Guide'!$A$5:$L$16,4,FALSE)</x:f>
        <x:v>Who reviews them? What are they checking? What happens when confidence is low or a customer may be affected?</x:v>
      </x:c>
      <x:c r="E14" s="47" t="str">
        <x:f>VLOOKUP(A14,'Question Guide'!$A$5:$L$16,5,FALSE)</x:f>
        <x:v>Risk-based human review, decision authority, override, and escalation are defined for consequential AI outputs or actions.</x:v>
      </x:c>
      <x:c r="F14" s="30"/>
      <x:c r="G14" s="30"/>
      <x:c r="H14" s="30"/>
      <x:c r="I14" s="30"/>
      <x:c r="J14" s="30"/>
      <x:c r="K14" s="30"/>
      <x:c r="L14" s="30"/>
      <x:c r="M14" s="47" t="str">
        <x:f>IF(G14="","",IF(G14="No",0,IF(G14="Unknown","Needs review",IF(COUNTA(H14:J14)&lt;3,"Incomplete",IF(OR(H14="Unknown",I14="Unknown",J14="Unknown"),"Needs review",IF(AND(H14="Yes",I14="Yes",J14="Yes"),3,IF(AND(H14="Yes",I14="Yes"),2,1)))))))</x:f>
      </x:c>
      <x:c r="N14" s="47" t="str">
        <x:f>IF(ISNUMBER(M14),CHOOSE(M14+1,"Absent/not considered","Informal or ad hoc","Documented and implemented","Managed and reviewed"),M14)</x:f>
      </x:c>
      <x:c r="O14" s="30"/>
    </x:row>
    <x:row r="15" ht="92" customHeight="1">
      <x:c r="A15" s="47" t="str">
        <x:v>Q08</x:v>
      </x:c>
      <x:c r="B15" s="47" t="str">
        <x:f>VLOOKUP(A15,'Question Guide'!$A$5:$L$16,2,FALSE)</x:f>
        <x:v>Testing and assurance</x:v>
      </x:c>
      <x:c r="C15" s="47" t="str">
        <x:f>VLOOKUP(A15,'Question Guide'!$A$5:$L$16,3,FALSE)</x:f>
        <x:v>How do you determine whether an AI system or output is accurate and reliable enough for its intended use?</x:v>
      </x:c>
      <x:c r="D15" s="47" t="str">
        <x:f>VLOOKUP(A15,'Question Guide'!$A$5:$L$16,4,FALSE)</x:f>
        <x:v>What was tested before use? Which failures matter? What acceptance level is required? Is testing repeated after change?</x:v>
      </x:c>
      <x:c r="E15" s="47" t="str">
        <x:f>VLOOKUP(A15,'Question Guide'!$A$5:$L$16,5,FALSE)</x:f>
        <x:v>AI use cases are tested against documented fitness, safety, security, and reliability criteria before use and after material change.</x:v>
      </x:c>
      <x:c r="F15" s="30"/>
      <x:c r="G15" s="30"/>
      <x:c r="H15" s="30"/>
      <x:c r="I15" s="30"/>
      <x:c r="J15" s="30"/>
      <x:c r="K15" s="30"/>
      <x:c r="L15" s="30"/>
      <x:c r="M15" s="47" t="str">
        <x:f>IF(G15="","",IF(G15="No",0,IF(G15="Unknown","Needs review",IF(COUNTA(H15:J15)&lt;3,"Incomplete",IF(OR(H15="Unknown",I15="Unknown",J15="Unknown"),"Needs review",IF(AND(H15="Yes",I15="Yes",J15="Yes"),3,IF(AND(H15="Yes",I15="Yes"),2,1)))))))</x:f>
      </x:c>
      <x:c r="N15" s="47" t="str">
        <x:f>IF(ISNUMBER(M15),CHOOSE(M15+1,"Absent/not considered","Informal or ad hoc","Documented and implemented","Managed and reviewed"),M15)</x:f>
      </x:c>
      <x:c r="O15" s="30"/>
    </x:row>
    <x:row r="16" ht="92" customHeight="1">
      <x:c r="A16" s="47" t="str">
        <x:v>Q09</x:v>
      </x:c>
      <x:c r="B16" s="47" t="str">
        <x:f>VLOOKUP(A16,'Question Guide'!$A$5:$L$16,2,FALSE)</x:f>
        <x:v>Monitoring and change</x:v>
      </x:c>
      <x:c r="C16" s="47" t="str">
        <x:f>VLOOKUP(A16,'Question Guide'!$A$5:$L$16,3,FALSE)</x:f>
        <x:v>After an AI use case goes live, how do you know it continues to operate safely and as intended?</x:v>
      </x:c>
      <x:c r="D16" s="47" t="str">
        <x:f>VLOOKUP(A16,'Question Guide'!$A$5:$L$16,4,FALSE)</x:f>
        <x:v>What is logged? Who reviews errors, complaints, vendor changes, unusual behavior, or declining quality?</x:v>
      </x:c>
      <x:c r="E16" s="47" t="str">
        <x:f>VLOOKUP(A16,'Question Guide'!$A$5:$L$16,5,FALSE)</x:f>
        <x:v>Operational AI use is monitored using assigned metrics, logs, issues, thresholds, and change triggers.</x:v>
      </x:c>
      <x:c r="F16" s="30"/>
      <x:c r="G16" s="30"/>
      <x:c r="H16" s="30"/>
      <x:c r="I16" s="30"/>
      <x:c r="J16" s="30"/>
      <x:c r="K16" s="30"/>
      <x:c r="L16" s="30"/>
      <x:c r="M16" s="47" t="str">
        <x:f>IF(G16="","",IF(G16="No",0,IF(G16="Unknown","Needs review",IF(COUNTA(H16:J16)&lt;3,"Incomplete",IF(OR(H16="Unknown",I16="Unknown",J16="Unknown"),"Needs review",IF(AND(H16="Yes",I16="Yes",J16="Yes"),3,IF(AND(H16="Yes",I16="Yes"),2,1)))))))</x:f>
      </x:c>
      <x:c r="N16" s="47" t="str">
        <x:f>IF(ISNUMBER(M16),CHOOSE(M16+1,"Absent/not considered","Informal or ad hoc","Documented and implemented","Managed and reviewed"),M16)</x:f>
      </x:c>
      <x:c r="O16" s="30"/>
    </x:row>
    <x:row r="17" ht="92" customHeight="1">
      <x:c r="A17" s="47" t="str">
        <x:v>Q10</x:v>
      </x:c>
      <x:c r="B17" s="47" t="str">
        <x:f>VLOOKUP(A17,'Question Guide'!$A$5:$L$16,2,FALSE)</x:f>
        <x:v>Incident response</x:v>
      </x:c>
      <x:c r="C17" s="47" t="str">
        <x:f>VLOOKUP(A17,'Question Guide'!$A$5:$L$16,3,FALSE)</x:f>
        <x:v>What would happen if an AI tool exposed sensitive information, produced harmful content, or took an unintended action?</x:v>
      </x:c>
      <x:c r="D17" s="47" t="str">
        <x:f>VLOOKUP(A17,'Question Guide'!$A$5:$L$16,4,FALSE)</x:f>
        <x:v>Who is notified? Can use be suspended? Is the vendor contacted? Has an AI scenario been exercised?</x:v>
      </x:c>
      <x:c r="E17" s="47" t="str">
        <x:f>VLOOKUP(A17,'Question Guide'!$A$5:$L$16,5,FALSE)</x:f>
        <x:v>AI-related events can be identified, contained, escalated, reported, investigated, and used to improve controls.</x:v>
      </x:c>
      <x:c r="F17" s="30"/>
      <x:c r="G17" s="30"/>
      <x:c r="H17" s="30"/>
      <x:c r="I17" s="30"/>
      <x:c r="J17" s="30"/>
      <x:c r="K17" s="30"/>
      <x:c r="L17" s="30"/>
      <x:c r="M17" s="47" t="str">
        <x:f>IF(G17="","",IF(G17="No",0,IF(G17="Unknown","Needs review",IF(COUNTA(H17:J17)&lt;3,"Incomplete",IF(OR(H17="Unknown",I17="Unknown",J17="Unknown"),"Needs review",IF(AND(H17="Yes",I17="Yes",J17="Yes"),3,IF(AND(H17="Yes",I17="Yes"),2,1)))))))</x:f>
      </x:c>
      <x:c r="N17" s="47" t="str">
        <x:f>IF(ISNUMBER(M17),CHOOSE(M17+1,"Absent/not considered","Informal or ad hoc","Documented and implemented","Managed and reviewed"),M17)</x:f>
      </x:c>
      <x:c r="O17" s="30"/>
    </x:row>
    <x:row r="18" ht="92" customHeight="1">
      <x:c r="A18" s="47" t="str">
        <x:v>Q11</x:v>
      </x:c>
      <x:c r="B18" s="47" t="str">
        <x:f>VLOOKUP(A18,'Question Guide'!$A$5:$L$16,2,FALSE)</x:f>
        <x:v>People and policy</x:v>
      </x:c>
      <x:c r="C18" s="47" t="str">
        <x:f>VLOOKUP(A18,'Question Guide'!$A$5:$L$16,3,FALSE)</x:f>
        <x:v>What guidance or training have employees received about responsible and secure AI use?</x:v>
      </x:c>
      <x:c r="D18" s="47" t="str">
        <x:f>VLOOKUP(A18,'Question Guide'!$A$5:$L$16,4,FALSE)</x:f>
        <x:v>Is it required? Does it cover approved tools, data, verification, disclosure, and reporting? How is it updated?</x:v>
      </x:c>
      <x:c r="E18" s="47" t="str">
        <x:f>VLOOKUP(A18,'Question Guide'!$A$5:$L$16,5,FALSE)</x:f>
        <x:v>Employees receive role-relevant AI policy, guidance, and awareness that are maintained as risks and use cases change.</x:v>
      </x:c>
      <x:c r="F18" s="30"/>
      <x:c r="G18" s="30"/>
      <x:c r="H18" s="30"/>
      <x:c r="I18" s="30"/>
      <x:c r="J18" s="30"/>
      <x:c r="K18" s="30"/>
      <x:c r="L18" s="30"/>
      <x:c r="M18" s="47" t="str">
        <x:f>IF(G18="","",IF(G18="No",0,IF(G18="Unknown","Needs review",IF(COUNTA(H18:J18)&lt;3,"Incomplete",IF(OR(H18="Unknown",I18="Unknown",J18="Unknown"),"Needs review",IF(AND(H18="Yes",I18="Yes",J18="Yes"),3,IF(AND(H18="Yes",I18="Yes"),2,1)))))))</x:f>
      </x:c>
      <x:c r="N18" s="47" t="str">
        <x:f>IF(ISNUMBER(M18),CHOOSE(M18+1,"Absent/not considered","Informal or ad hoc","Documented and implemented","Managed and reviewed"),M18)</x:f>
      </x:c>
      <x:c r="O18" s="30"/>
    </x:row>
    <x:row r="19" ht="92" customHeight="1">
      <x:c r="A19" s="47" t="str">
        <x:v>Q12</x:v>
      </x:c>
      <x:c r="B19" s="47" t="str">
        <x:f>VLOOKUP(A19,'Question Guide'!$A$5:$L$16,2,FALSE)</x:f>
        <x:v>Barriers and support</x:v>
      </x:c>
      <x:c r="C19" s="47" t="str">
        <x:f>VLOOKUP(A19,'Question Guide'!$A$5:$L$16,3,FALSE)</x:f>
        <x:v>What makes AI governance or cybersecurity difficult for your company, and what practical support would help?</x:v>
      </x:c>
      <x:c r="D19" s="47" t="str">
        <x:f>VLOOKUP(A19,'Question Guide'!$A$5:$L$16,4,FALSE)</x:f>
        <x:v>Probe for cost, time, skills, leadership priority, vendor information, unclear guidance, templates, training, assessments, or specialist advice.</x:v>
      </x:c>
      <x:c r="E19" s="47" t="str">
        <x:f>VLOOKUP(A19,'Question Guide'!$A$5:$L$16,5,FALSE)</x:f>
        <x:v>Qualitative context is collected to explain readiness results and identify practical support needs.</x:v>
      </x:c>
      <x:c r="F19" s="30"/>
      <x:c r="G19" s="64" t="str">
        <x:v>N/A</x:v>
      </x:c>
      <x:c r="H19" s="64" t="str">
        <x:v>N/A</x:v>
      </x:c>
      <x:c r="I19" s="64" t="str">
        <x:v>N/A</x:v>
      </x:c>
      <x:c r="J19" s="64" t="str">
        <x:v>N/A</x:v>
      </x:c>
      <x:c r="K19" s="30"/>
      <x:c r="L19" s="30"/>
      <x:c r="M19" s="65" t="str">
        <x:v>N/A</x:v>
      </x:c>
      <x:c r="N19" s="65" t="str">
        <x:v>Qualitative question — not scored</x:v>
      </x:c>
      <x:c r="O19" s="30"/>
    </x:row>
  </x:sheetData>
  <x:mergeCells>
    <x:mergeCell ref="A1:O1"/>
    <x:mergeCell ref="A5:O5"/>
  </x:mergeCells>
  <x:conditionalFormatting sqref="M8:M18">
    <x:cfRule type="cellIs" dxfId="24" priority="1" operator="equal">
      <x:formula>0</x:formula>
    </x:cfRule>
    <x:cfRule type="cellIs" dxfId="25" priority="2" operator="equal">
      <x:formula>1</x:formula>
    </x:cfRule>
    <x:cfRule type="cellIs" dxfId="26" priority="3" operator="equal">
      <x:formula>2</x:formula>
    </x:cfRule>
    <x:cfRule type="cellIs" dxfId="27" priority="4" operator="equal">
      <x:formula>3</x:formula>
    </x:cfRule>
  </x:conditionalFormatting>
  <x:dataValidations count="11">
    <x:dataValidation type="list" sqref="B2">
      <x:formula1>"SAIA,SCCCI,Both"</x:formula1>
    </x:dataValidation>
    <x:dataValidation type="list" sqref="F2">
      <x:formula1>"1–9,10–49,50–99,100–199,200+"</x:formula1>
    </x:dataValidation>
    <x:dataValidation type="list" sqref="H2">
      <x:formula1>"Exploring,Piloting,Operational use"</x:formula1>
    </x:dataValidation>
    <x:dataValidation type="list" sqref="D3">
      <x:formula1>"Lower,Moderate,Higher,To be assessed"</x:formula1>
    </x:dataValidation>
    <x:dataValidation type="list" sqref="H3">
      <x:formula1>"Yes,No"</x:formula1>
    </x:dataValidation>
    <x:dataValidation type="list" sqref="G8:G18">
      <x:formula1>"Yes,No,Unknown"</x:formula1>
    </x:dataValidation>
    <x:dataValidation type="list" sqref="H8:H18">
      <x:formula1>"Yes,No,Unknown"</x:formula1>
    </x:dataValidation>
    <x:dataValidation type="list" sqref="I8:I18">
      <x:formula1>"Yes,No,Unknown"</x:formula1>
    </x:dataValidation>
    <x:dataValidation type="list" sqref="J8:J18">
      <x:formula1>"Yes,No,Unknown"</x:formula1>
    </x:dataValidation>
    <x:dataValidation type="list" sqref="K8:K19">
      <x:formula1>"Statement only,Specific example described,Document described,Document observed,System evidence observed"</x:formula1>
    </x:dataValidation>
    <x:dataValidation type="list" sqref="L8:L19">
      <x:formula1>"Low,Medium,High"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4" hidden="0" customWidth="1"/>
    <x:col min="3" max="3" width="42" hidden="0" customWidth="1"/>
    <x:col min="4" max="4" width="43" hidden="0" customWidth="1"/>
    <x:col min="5" max="5" width="44" hidden="0" customWidth="1"/>
    <x:col min="6" max="6" width="58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24" hidden="0" customWidth="1"/>
    <x:col min="12" max="12" width="14" hidden="0" customWidth="1"/>
    <x:col min="13" max="13" width="14" hidden="0" customWidth="1"/>
    <x:col min="14" max="14" width="31" hidden="0" customWidth="1"/>
    <x:col min="15" max="15" width="36" hidden="0" customWidth="1"/>
  </x:cols>
  <x:sheetData>
    <x:row r="1" ht="36" customHeight="1">
      <x:c r="A1" s="3" t="str">
        <x:v>SME-08 — AI governance and cybersecurity interview form</x:v>
      </x:c>
      <x:c r="B1" s="3" t="str">
        <x:v>SME-08 — AI governance and cybersecurity interview form</x:v>
      </x:c>
      <x:c r="C1" s="3" t="str">
        <x:v>SME-08 — AI governance and cybersecurity interview form</x:v>
      </x:c>
      <x:c r="D1" s="3" t="str">
        <x:v>SME-08 — AI governance and cybersecurity interview form</x:v>
      </x:c>
      <x:c r="E1" s="3" t="str">
        <x:v>SME-08 — AI governance and cybersecurity interview form</x:v>
      </x:c>
      <x:c r="F1" s="3" t="str">
        <x:v>SME-08 — AI governance and cybersecurity interview form</x:v>
      </x:c>
      <x:c r="G1" s="3" t="str">
        <x:v>SME-08 — AI governance and cybersecurity interview form</x:v>
      </x:c>
      <x:c r="H1" s="3" t="str">
        <x:v>SME-08 — AI governance and cybersecurity interview form</x:v>
      </x:c>
      <x:c r="I1" s="3" t="str">
        <x:v>SME-08 — AI governance and cybersecurity interview form</x:v>
      </x:c>
      <x:c r="J1" s="3" t="str">
        <x:v>SME-08 — AI governance and cybersecurity interview form</x:v>
      </x:c>
      <x:c r="K1" s="3" t="str">
        <x:v>SME-08 — AI governance and cybersecurity interview form</x:v>
      </x:c>
      <x:c r="L1" s="3" t="str">
        <x:v>SME-08 — AI governance and cybersecurity interview form</x:v>
      </x:c>
      <x:c r="M1" s="3" t="str">
        <x:v>SME-08 — AI governance and cybersecurity interview form</x:v>
      </x:c>
      <x:c r="N1" s="3" t="str">
        <x:v>SME-08 — AI governance and cybersecurity interview form</x:v>
      </x:c>
      <x:c r="O1" s="3" t="str">
        <x:v>SME-08 — AI governance and cybersecurity interview form</x:v>
      </x:c>
    </x:row>
    <x:row r="2">
      <x:c r="A2" s="51" t="str">
        <x:v>Recruitment channel</x:v>
      </x:c>
      <x:c r="B2" s="27" t="str"/>
      <x:c r="C2" s="51" t="str">
        <x:v>Sector</x:v>
      </x:c>
      <x:c r="D2" s="27" t="str"/>
      <x:c r="E2" s="51" t="str">
        <x:v>Employee range</x:v>
      </x:c>
      <x:c r="F2" s="27" t="str"/>
      <x:c r="G2" s="51" t="str">
        <x:v>AI adoption stage</x:v>
      </x:c>
      <x:c r="H2" s="27" t="str"/>
      <x:c r="I2" s="51" t="str">
        <x:v>Interview date</x:v>
      </x:c>
      <x:c r="J2" s="53" t="str"/>
    </x:row>
    <x:row r="3">
      <x:c r="A3" s="52" t="str">
        <x:v>Primary GenAI use case</x:v>
      </x:c>
      <x:c r="B3" s="30" t="str"/>
      <x:c r="C3" s="52" t="str">
        <x:v>Risk exposure</x:v>
      </x:c>
      <x:c r="D3" s="30" t="str"/>
      <x:c r="E3" s="52" t="str">
        <x:v>Respondent role</x:v>
      </x:c>
      <x:c r="F3" s="30" t="str"/>
      <x:c r="G3" s="52" t="str">
        <x:v>Consent confirmed?</x:v>
      </x:c>
      <x:c r="H3" s="30" t="str"/>
      <x:c r="I3" s="52" t="str">
        <x:v>Interviewer</x:v>
      </x:c>
      <x:c r="J3" s="30" t="str">
        <x:v>Maria Singh</x:v>
      </x:c>
    </x:row>
    <x:row r="5" ht="38" customHeight="1">
      <x:c r="A5" s="43" t="str">
        <x:v>During the interview: ask the question naturally and record the answer. After the answer: code the four evidence checks using the Question Guide. Yellow = your input; green/gray = automatic or fixed.</x:v>
      </x:c>
      <x:c r="B5" s="43" t="str">
        <x:v>During the interview: ask the question naturally and record the answer. After the answer: code the four evidence checks using the Question Guide. Yellow = your input; green/gray = automatic or fixed.</x:v>
      </x:c>
      <x:c r="C5" s="43" t="str">
        <x:v>During the interview: ask the question naturally and record the answer. After the answer: code the four evidence checks using the Question Guide. Yellow = your input; green/gray = automatic or fixed.</x:v>
      </x:c>
      <x:c r="D5" s="43" t="str">
        <x:v>During the interview: ask the question naturally and record the answer. After the answer: code the four evidence checks using the Question Guide. Yellow = your input; green/gray = automatic or fixed.</x:v>
      </x:c>
      <x:c r="E5" s="43" t="str">
        <x:v>During the interview: ask the question naturally and record the answer. After the answer: code the four evidence checks using the Question Guide. Yellow = your input; green/gray = automatic or fixed.</x:v>
      </x:c>
      <x:c r="F5" s="43" t="str">
        <x:v>During the interview: ask the question naturally and record the answer. After the answer: code the four evidence checks using the Question Guide. Yellow = your input; green/gray = automatic or fixed.</x:v>
      </x:c>
      <x:c r="G5" s="43" t="str">
        <x:v>During the interview: ask the question naturally and record the answer. After the answer: code the four evidence checks using the Question Guide. Yellow = your input; green/gray = automatic or fixed.</x:v>
      </x:c>
      <x:c r="H5" s="43" t="str">
        <x:v>During the interview: ask the question naturally and record the answer. After the answer: code the four evidence checks using the Question Guide. Yellow = your input; green/gray = automatic or fixed.</x:v>
      </x:c>
      <x:c r="I5" s="43" t="str">
        <x:v>During the interview: ask the question naturally and record the answer. After the answer: code the four evidence checks using the Question Guide. Yellow = your input; green/gray = automatic or fixed.</x:v>
      </x:c>
      <x:c r="J5" s="43" t="str">
        <x:v>During the interview: ask the question naturally and record the answer. After the answer: code the four evidence checks using the Question Guide. Yellow = your input; green/gray = automatic or fixed.</x:v>
      </x:c>
      <x:c r="K5" s="43" t="str">
        <x:v>During the interview: ask the question naturally and record the answer. After the answer: code the four evidence checks using the Question Guide. Yellow = your input; green/gray = automatic or fixed.</x:v>
      </x:c>
      <x:c r="L5" s="43" t="str">
        <x:v>During the interview: ask the question naturally and record the answer. After the answer: code the four evidence checks using the Question Guide. Yellow = your input; green/gray = automatic or fixed.</x:v>
      </x:c>
      <x:c r="M5" s="43" t="str">
        <x:v>During the interview: ask the question naturally and record the answer. After the answer: code the four evidence checks using the Question Guide. Yellow = your input; green/gray = automatic or fixed.</x:v>
      </x:c>
      <x:c r="N5" s="43" t="str">
        <x:v>During the interview: ask the question naturally and record the answer. After the answer: code the four evidence checks using the Question Guide. Yellow = your input; green/gray = automatic or fixed.</x:v>
      </x:c>
      <x:c r="O5" s="43" t="str">
        <x:v>During the interview: ask the question naturally and record the answer. After the answer: code the four evidence checks using the Question Guide. Yellow = your input; green/gray = automatic or fixed.</x:v>
      </x:c>
    </x:row>
    <x:row r="7" ht="48" customHeight="1">
      <x:c r="A7" s="12" t="str">
        <x:v>Q ID</x:v>
      </x:c>
      <x:c r="B7" s="13" t="str">
        <x:v>Domain</x:v>
      </x:c>
      <x:c r="C7" s="13" t="str">
        <x:v>Question to ask</x:v>
      </x:c>
      <x:c r="D7" s="13" t="str">
        <x:v>Suggested probes</x:v>
      </x:c>
      <x:c r="E7" s="13" t="str">
        <x:v>Control being measured</x:v>
      </x:c>
      <x:c r="F7" s="13" t="str">
        <x:v>Response/evidence notes</x:v>
      </x:c>
      <x:c r="G7" s="13" t="str">
        <x:v>Practice exists?</x:v>
      </x:c>
      <x:c r="H7" s="13" t="str">
        <x:v>Documented?</x:v>
      </x:c>
      <x:c r="I7" s="13" t="str">
        <x:v>Implemented?</x:v>
      </x:c>
      <x:c r="J7" s="13" t="str">
        <x:v>Reviewed?</x:v>
      </x:c>
      <x:c r="K7" s="13" t="str">
        <x:v>Evidence basis</x:v>
      </x:c>
      <x:c r="L7" s="13" t="str">
        <x:v>Confidence</x:v>
      </x:c>
      <x:c r="M7" s="13" t="str">
        <x:v>Auto score</x:v>
      </x:c>
      <x:c r="N7" s="13" t="str">
        <x:v>Score meaning</x:v>
      </x:c>
      <x:c r="O7" s="14" t="str">
        <x:v>Barrier/support notes</x:v>
      </x:c>
    </x:row>
    <x:row r="8" ht="92" customHeight="1">
      <x:c r="A8" s="46" t="str">
        <x:v>Q01</x:v>
      </x:c>
      <x:c r="B8" s="46" t="str">
        <x:f>VLOOKUP(A8,'Question Guide'!$A$5:$L$16,2,FALSE)</x:f>
        <x:v>AI use context</x:v>
      </x:c>
      <x:c r="C8" s="46" t="str">
        <x:f>VLOOKUP(A8,'Question Guide'!$A$5:$L$16,3,FALSE)</x:f>
        <x:v>What generative AI tools or use cases is your company exploring or using?</x:v>
      </x:c>
      <x:c r="D8" s="46" t="str">
        <x:f>VLOOKUP(A8,'Question Guide'!$A$5:$L$16,4,FALSE)</x:f>
        <x:v>Who uses them? For what process? What information is involved? When was the list last checked?</x:v>
      </x:c>
      <x:c r="E8" s="46" t="str">
        <x:f>VLOOKUP(A8,'Question Guide'!$A$5:$L$16,5,FALSE)</x:f>
        <x:v>AI use cases are identified, recorded, assigned an owner, and kept current.</x:v>
      </x:c>
      <x:c r="F8" s="27"/>
      <x:c r="G8" s="27"/>
      <x:c r="H8" s="27"/>
      <x:c r="I8" s="27"/>
      <x:c r="J8" s="27"/>
      <x:c r="K8" s="27"/>
      <x:c r="L8" s="27"/>
      <x:c r="M8" s="46" t="str">
        <x:f>IF(G8="","",IF(G8="No",0,IF(G8="Unknown","Needs review",IF(COUNTA(H8:J8)&lt;3,"Incomplete",IF(OR(H8="Unknown",I8="Unknown",J8="Unknown"),"Needs review",IF(AND(H8="Yes",I8="Yes",J8="Yes"),3,IF(AND(H8="Yes",I8="Yes"),2,1)))))))</x:f>
      </x:c>
      <x:c r="N8" s="46" t="str">
        <x:f>IF(ISNUMBER(M8),CHOOSE(M8+1,"Absent/not considered","Informal or ad hoc","Documented and implemented","Managed and reviewed"),M8)</x:f>
      </x:c>
      <x:c r="O8" s="27"/>
    </x:row>
    <x:row r="9" ht="92" customHeight="1">
      <x:c r="A9" s="47" t="str">
        <x:v>Q02</x:v>
      </x:c>
      <x:c r="B9" s="47" t="str">
        <x:f>VLOOKUP(A9,'Question Guide'!$A$5:$L$16,2,FALSE)</x:f>
        <x:v>Accountability and governance</x:v>
      </x:c>
      <x:c r="C9" s="47" t="str">
        <x:f>VLOOKUP(A9,'Question Guide'!$A$5:$L$16,3,FALSE)</x:f>
        <x:v>Who is responsible for approving and overseeing AI use?</x:v>
      </x:c>
      <x:c r="D9" s="47" t="str">
        <x:f>VLOOKUP(A9,'Question Guide'!$A$5:$L$16,4,FALSE)</x:f>
        <x:v>Who can approve, stop, or change a use case? When was this authority last used?</x:v>
      </x:c>
      <x:c r="E9" s="47" t="str">
        <x:f>VLOOKUP(A9,'Question Guide'!$A$5:$L$16,5,FALSE)</x:f>
        <x:v>AI decision rights, ownership, approval, and escalation responsibilities are assigned.</x:v>
      </x:c>
      <x:c r="F9" s="30"/>
      <x:c r="G9" s="30"/>
      <x:c r="H9" s="30"/>
      <x:c r="I9" s="30"/>
      <x:c r="J9" s="30"/>
      <x:c r="K9" s="30"/>
      <x:c r="L9" s="30"/>
      <x:c r="M9" s="47" t="str">
        <x:f>IF(G9="","",IF(G9="No",0,IF(G9="Unknown","Needs review",IF(COUNTA(H9:J9)&lt;3,"Incomplete",IF(OR(H9="Unknown",I9="Unknown",J9="Unknown"),"Needs review",IF(AND(H9="Yes",I9="Yes",J9="Yes"),3,IF(AND(H9="Yes",I9="Yes"),2,1)))))))</x:f>
      </x:c>
      <x:c r="N9" s="47" t="str">
        <x:f>IF(ISNUMBER(M9),CHOOSE(M9+1,"Absent/not considered","Informal or ad hoc","Documented and implemented","Managed and reviewed"),M9)</x:f>
      </x:c>
      <x:c r="O9" s="30"/>
    </x:row>
    <x:row r="10" ht="92" customHeight="1">
      <x:c r="A10" s="47" t="str">
        <x:v>Q03</x:v>
      </x:c>
      <x:c r="B10" s="47" t="str">
        <x:f>VLOOKUP(A10,'Question Guide'!$A$5:$L$16,2,FALSE)</x:f>
        <x:v>Accountability and governance</x:v>
      </x:c>
      <x:c r="C10" s="47" t="str">
        <x:f>VLOOKUP(A10,'Question Guide'!$A$5:$L$16,3,FALSE)</x:f>
        <x:v>Before an AI use case is approved, what risks does the company consider?</x:v>
      </x:c>
      <x:c r="D10" s="47" t="str">
        <x:f>VLOOKUP(A10,'Question Guide'!$A$5:$L$16,4,FALSE)</x:f>
        <x:v>Describe the most recent review. Were sensitive data, customer impact, autonomy, accuracy, and consequences considered?</x:v>
      </x:c>
      <x:c r="E10" s="47" t="str">
        <x:f>VLOOKUP(A10,'Question Guide'!$A$5:$L$16,5,FALSE)</x:f>
        <x:v>AI use cases undergo a risk review before approval and when material changes occur.</x:v>
      </x:c>
      <x:c r="F10" s="30"/>
      <x:c r="G10" s="30"/>
      <x:c r="H10" s="30"/>
      <x:c r="I10" s="30"/>
      <x:c r="J10" s="30"/>
      <x:c r="K10" s="30"/>
      <x:c r="L10" s="30"/>
      <x:c r="M10" s="47" t="str">
        <x:f>IF(G10="","",IF(G10="No",0,IF(G10="Unknown","Needs review",IF(COUNTA(H10:J10)&lt;3,"Incomplete",IF(OR(H10="Unknown",I10="Unknown",J10="Unknown"),"Needs review",IF(AND(H10="Yes",I10="Yes",J10="Yes"),3,IF(AND(H10="Yes",I10="Yes"),2,1)))))))</x:f>
      </x:c>
      <x:c r="N10" s="47" t="str">
        <x:f>IF(ISNUMBER(M10),CHOOSE(M10+1,"Absent/not considered","Informal or ad hoc","Documented and implemented","Managed and reviewed"),M10)</x:f>
      </x:c>
      <x:c r="O10" s="30"/>
    </x:row>
    <x:row r="11" ht="92" customHeight="1">
      <x:c r="A11" s="47" t="str">
        <x:v>Q04</x:v>
      </x:c>
      <x:c r="B11" s="47" t="str">
        <x:f>VLOOKUP(A11,'Question Guide'!$A$5:$L$16,2,FALSE)</x:f>
        <x:v>Data protection</x:v>
      </x:c>
      <x:c r="C11" s="47" t="str">
        <x:f>VLOOKUP(A11,'Question Guide'!$A$5:$L$16,3,FALSE)</x:f>
        <x:v>What information may or may not be entered into generative AI tools?</x:v>
      </x:c>
      <x:c r="D11" s="47" t="str">
        <x:f>VLOOKUP(A11,'Question Guide'!$A$5:$L$16,4,FALSE)</x:f>
        <x:v>How do employees know? Are customer, employee, financial, confidential, or regulated data addressed?</x:v>
      </x:c>
      <x:c r="E11" s="47" t="str">
        <x:f>VLOOKUP(A11,'Question Guide'!$A$5:$L$16,5,FALSE)</x:f>
        <x:v>Rules govern the data employees may enter into AI tools and how AI-generated information may be handled.</x:v>
      </x:c>
      <x:c r="F11" s="30"/>
      <x:c r="G11" s="30"/>
      <x:c r="H11" s="30"/>
      <x:c r="I11" s="30"/>
      <x:c r="J11" s="30"/>
      <x:c r="K11" s="30"/>
      <x:c r="L11" s="30"/>
      <x:c r="M11" s="47" t="str">
        <x:f>IF(G11="","",IF(G11="No",0,IF(G11="Unknown","Needs review",IF(COUNTA(H11:J11)&lt;3,"Incomplete",IF(OR(H11="Unknown",I11="Unknown",J11="Unknown"),"Needs review",IF(AND(H11="Yes",I11="Yes",J11="Yes"),3,IF(AND(H11="Yes",I11="Yes"),2,1)))))))</x:f>
      </x:c>
      <x:c r="N11" s="47" t="str">
        <x:f>IF(ISNUMBER(M11),CHOOSE(M11+1,"Absent/not considered","Informal or ad hoc","Documented and implemented","Managed and reviewed"),M11)</x:f>
      </x:c>
      <x:c r="O11" s="30"/>
    </x:row>
    <x:row r="12" ht="92" customHeight="1">
      <x:c r="A12" s="47" t="str">
        <x:v>Q05</x:v>
      </x:c>
      <x:c r="B12" s="47" t="str">
        <x:f>VLOOKUP(A12,'Question Guide'!$A$5:$L$16,2,FALSE)</x:f>
        <x:v>Third-party management</x:v>
      </x:c>
      <x:c r="C12" s="47" t="str">
        <x:f>VLOOKUP(A12,'Question Guide'!$A$5:$L$16,3,FALSE)</x:f>
        <x:v>How do you decide whether an AI vendor or tool is trustworthy enough to use?</x:v>
      </x:c>
      <x:c r="D12" s="47" t="str">
        <x:f>VLOOKUP(A12,'Question Guide'!$A$5:$L$16,4,FALSE)</x:f>
        <x:v>Do you examine retention, model training, security, subcontractors, location, incident terms, and contracts?</x:v>
      </x:c>
      <x:c r="E12" s="47" t="str">
        <x:f>VLOOKUP(A12,'Question Guide'!$A$5:$L$16,5,FALSE)</x:f>
        <x:v>AI vendors receive risk-based security, privacy, data-use, and contractual review before and during use.</x:v>
      </x:c>
      <x:c r="F12" s="30"/>
      <x:c r="G12" s="30"/>
      <x:c r="H12" s="30"/>
      <x:c r="I12" s="30"/>
      <x:c r="J12" s="30"/>
      <x:c r="K12" s="30"/>
      <x:c r="L12" s="30"/>
      <x:c r="M12" s="47" t="str">
        <x:f>IF(G12="","",IF(G12="No",0,IF(G12="Unknown","Needs review",IF(COUNTA(H12:J12)&lt;3,"Incomplete",IF(OR(H12="Unknown",I12="Unknown",J12="Unknown"),"Needs review",IF(AND(H12="Yes",I12="Yes",J12="Yes"),3,IF(AND(H12="Yes",I12="Yes"),2,1)))))))</x:f>
      </x:c>
      <x:c r="N12" s="47" t="str">
        <x:f>IF(ISNUMBER(M12),CHOOSE(M12+1,"Absent/not considered","Informal or ad hoc","Documented and implemented","Managed and reviewed"),M12)</x:f>
      </x:c>
      <x:c r="O12" s="30"/>
    </x:row>
    <x:row r="13" ht="92" customHeight="1">
      <x:c r="A13" s="47" t="str">
        <x:v>Q06</x:v>
      </x:c>
      <x:c r="B13" s="47" t="str">
        <x:f>VLOOKUP(A13,'Question Guide'!$A$5:$L$16,2,FALSE)</x:f>
        <x:v>Access and integration security</x:v>
      </x:c>
      <x:c r="C13" s="47" t="str">
        <x:f>VLOOKUP(A13,'Question Guide'!$A$5:$L$16,3,FALSE)</x:f>
        <x:v>How is access to AI tools and connected company systems managed?</x:v>
      </x:c>
      <x:c r="D13" s="47" t="str">
        <x:f>VLOOKUP(A13,'Question Guide'!$A$5:$L$16,4,FALSE)</x:f>
        <x:v>Are accounts shared? Is MFA used? What data can the tool retrieve? What actions can it take? What happens when someone leaves?</x:v>
      </x:c>
      <x:c r="E13" s="47" t="str">
        <x:f>VLOOKUP(A13,'Question Guide'!$A$5:$L$16,5,FALSE)</x:f>
        <x:v>AI access and integrations use individual identity, least privilege, controlled permissions, and timely removal.</x:v>
      </x:c>
      <x:c r="F13" s="30"/>
      <x:c r="G13" s="30"/>
      <x:c r="H13" s="30"/>
      <x:c r="I13" s="30"/>
      <x:c r="J13" s="30"/>
      <x:c r="K13" s="30"/>
      <x:c r="L13" s="30"/>
      <x:c r="M13" s="47" t="str">
        <x:f>IF(G13="","",IF(G13="No",0,IF(G13="Unknown","Needs review",IF(COUNTA(H13:J13)&lt;3,"Incomplete",IF(OR(H13="Unknown",I13="Unknown",J13="Unknown"),"Needs review",IF(AND(H13="Yes",I13="Yes",J13="Yes"),3,IF(AND(H13="Yes",I13="Yes"),2,1)))))))</x:f>
      </x:c>
      <x:c r="N13" s="47" t="str">
        <x:f>IF(ISNUMBER(M13),CHOOSE(M13+1,"Absent/not considered","Informal or ad hoc","Documented and implemented","Managed and reviewed"),M13)</x:f>
      </x:c>
      <x:c r="O13" s="30"/>
    </x:row>
    <x:row r="14" ht="92" customHeight="1">
      <x:c r="A14" s="47" t="str">
        <x:v>Q07</x:v>
      </x:c>
      <x:c r="B14" s="47" t="str">
        <x:f>VLOOKUP(A14,'Question Guide'!$A$5:$L$16,2,FALSE)</x:f>
        <x:v>Human oversight</x:v>
      </x:c>
      <x:c r="C14" s="47" t="str">
        <x:f>VLOOKUP(A14,'Question Guide'!$A$5:$L$16,3,FALSE)</x:f>
        <x:v>Which AI-generated outputs or actions require human review?</x:v>
      </x:c>
      <x:c r="D14" s="47" t="str">
        <x:f>VLOOKUP(A14,'Question Guide'!$A$5:$L$16,4,FALSE)</x:f>
        <x:v>Who reviews them? What are they checking? What happens when confidence is low or a customer may be affected?</x:v>
      </x:c>
      <x:c r="E14" s="47" t="str">
        <x:f>VLOOKUP(A14,'Question Guide'!$A$5:$L$16,5,FALSE)</x:f>
        <x:v>Risk-based human review, decision authority, override, and escalation are defined for consequential AI outputs or actions.</x:v>
      </x:c>
      <x:c r="F14" s="30"/>
      <x:c r="G14" s="30"/>
      <x:c r="H14" s="30"/>
      <x:c r="I14" s="30"/>
      <x:c r="J14" s="30"/>
      <x:c r="K14" s="30"/>
      <x:c r="L14" s="30"/>
      <x:c r="M14" s="47" t="str">
        <x:f>IF(G14="","",IF(G14="No",0,IF(G14="Unknown","Needs review",IF(COUNTA(H14:J14)&lt;3,"Incomplete",IF(OR(H14="Unknown",I14="Unknown",J14="Unknown"),"Needs review",IF(AND(H14="Yes",I14="Yes",J14="Yes"),3,IF(AND(H14="Yes",I14="Yes"),2,1)))))))</x:f>
      </x:c>
      <x:c r="N14" s="47" t="str">
        <x:f>IF(ISNUMBER(M14),CHOOSE(M14+1,"Absent/not considered","Informal or ad hoc","Documented and implemented","Managed and reviewed"),M14)</x:f>
      </x:c>
      <x:c r="O14" s="30"/>
    </x:row>
    <x:row r="15" ht="92" customHeight="1">
      <x:c r="A15" s="47" t="str">
        <x:v>Q08</x:v>
      </x:c>
      <x:c r="B15" s="47" t="str">
        <x:f>VLOOKUP(A15,'Question Guide'!$A$5:$L$16,2,FALSE)</x:f>
        <x:v>Testing and assurance</x:v>
      </x:c>
      <x:c r="C15" s="47" t="str">
        <x:f>VLOOKUP(A15,'Question Guide'!$A$5:$L$16,3,FALSE)</x:f>
        <x:v>How do you determine whether an AI system or output is accurate and reliable enough for its intended use?</x:v>
      </x:c>
      <x:c r="D15" s="47" t="str">
        <x:f>VLOOKUP(A15,'Question Guide'!$A$5:$L$16,4,FALSE)</x:f>
        <x:v>What was tested before use? Which failures matter? What acceptance level is required? Is testing repeated after change?</x:v>
      </x:c>
      <x:c r="E15" s="47" t="str">
        <x:f>VLOOKUP(A15,'Question Guide'!$A$5:$L$16,5,FALSE)</x:f>
        <x:v>AI use cases are tested against documented fitness, safety, security, and reliability criteria before use and after material change.</x:v>
      </x:c>
      <x:c r="F15" s="30"/>
      <x:c r="G15" s="30"/>
      <x:c r="H15" s="30"/>
      <x:c r="I15" s="30"/>
      <x:c r="J15" s="30"/>
      <x:c r="K15" s="30"/>
      <x:c r="L15" s="30"/>
      <x:c r="M15" s="47" t="str">
        <x:f>IF(G15="","",IF(G15="No",0,IF(G15="Unknown","Needs review",IF(COUNTA(H15:J15)&lt;3,"Incomplete",IF(OR(H15="Unknown",I15="Unknown",J15="Unknown"),"Needs review",IF(AND(H15="Yes",I15="Yes",J15="Yes"),3,IF(AND(H15="Yes",I15="Yes"),2,1)))))))</x:f>
      </x:c>
      <x:c r="N15" s="47" t="str">
        <x:f>IF(ISNUMBER(M15),CHOOSE(M15+1,"Absent/not considered","Informal or ad hoc","Documented and implemented","Managed and reviewed"),M15)</x:f>
      </x:c>
      <x:c r="O15" s="30"/>
    </x:row>
    <x:row r="16" ht="92" customHeight="1">
      <x:c r="A16" s="47" t="str">
        <x:v>Q09</x:v>
      </x:c>
      <x:c r="B16" s="47" t="str">
        <x:f>VLOOKUP(A16,'Question Guide'!$A$5:$L$16,2,FALSE)</x:f>
        <x:v>Monitoring and change</x:v>
      </x:c>
      <x:c r="C16" s="47" t="str">
        <x:f>VLOOKUP(A16,'Question Guide'!$A$5:$L$16,3,FALSE)</x:f>
        <x:v>After an AI use case goes live, how do you know it continues to operate safely and as intended?</x:v>
      </x:c>
      <x:c r="D16" s="47" t="str">
        <x:f>VLOOKUP(A16,'Question Guide'!$A$5:$L$16,4,FALSE)</x:f>
        <x:v>What is logged? Who reviews errors, complaints, vendor changes, unusual behavior, or declining quality?</x:v>
      </x:c>
      <x:c r="E16" s="47" t="str">
        <x:f>VLOOKUP(A16,'Question Guide'!$A$5:$L$16,5,FALSE)</x:f>
        <x:v>Operational AI use is monitored using assigned metrics, logs, issues, thresholds, and change triggers.</x:v>
      </x:c>
      <x:c r="F16" s="30"/>
      <x:c r="G16" s="30"/>
      <x:c r="H16" s="30"/>
      <x:c r="I16" s="30"/>
      <x:c r="J16" s="30"/>
      <x:c r="K16" s="30"/>
      <x:c r="L16" s="30"/>
      <x:c r="M16" s="47" t="str">
        <x:f>IF(G16="","",IF(G16="No",0,IF(G16="Unknown","Needs review",IF(COUNTA(H16:J16)&lt;3,"Incomplete",IF(OR(H16="Unknown",I16="Unknown",J16="Unknown"),"Needs review",IF(AND(H16="Yes",I16="Yes",J16="Yes"),3,IF(AND(H16="Yes",I16="Yes"),2,1)))))))</x:f>
      </x:c>
      <x:c r="N16" s="47" t="str">
        <x:f>IF(ISNUMBER(M16),CHOOSE(M16+1,"Absent/not considered","Informal or ad hoc","Documented and implemented","Managed and reviewed"),M16)</x:f>
      </x:c>
      <x:c r="O16" s="30"/>
    </x:row>
    <x:row r="17" ht="92" customHeight="1">
      <x:c r="A17" s="47" t="str">
        <x:v>Q10</x:v>
      </x:c>
      <x:c r="B17" s="47" t="str">
        <x:f>VLOOKUP(A17,'Question Guide'!$A$5:$L$16,2,FALSE)</x:f>
        <x:v>Incident response</x:v>
      </x:c>
      <x:c r="C17" s="47" t="str">
        <x:f>VLOOKUP(A17,'Question Guide'!$A$5:$L$16,3,FALSE)</x:f>
        <x:v>What would happen if an AI tool exposed sensitive information, produced harmful content, or took an unintended action?</x:v>
      </x:c>
      <x:c r="D17" s="47" t="str">
        <x:f>VLOOKUP(A17,'Question Guide'!$A$5:$L$16,4,FALSE)</x:f>
        <x:v>Who is notified? Can use be suspended? Is the vendor contacted? Has an AI scenario been exercised?</x:v>
      </x:c>
      <x:c r="E17" s="47" t="str">
        <x:f>VLOOKUP(A17,'Question Guide'!$A$5:$L$16,5,FALSE)</x:f>
        <x:v>AI-related events can be identified, contained, escalated, reported, investigated, and used to improve controls.</x:v>
      </x:c>
      <x:c r="F17" s="30"/>
      <x:c r="G17" s="30"/>
      <x:c r="H17" s="30"/>
      <x:c r="I17" s="30"/>
      <x:c r="J17" s="30"/>
      <x:c r="K17" s="30"/>
      <x:c r="L17" s="30"/>
      <x:c r="M17" s="47" t="str">
        <x:f>IF(G17="","",IF(G17="No",0,IF(G17="Unknown","Needs review",IF(COUNTA(H17:J17)&lt;3,"Incomplete",IF(OR(H17="Unknown",I17="Unknown",J17="Unknown"),"Needs review",IF(AND(H17="Yes",I17="Yes",J17="Yes"),3,IF(AND(H17="Yes",I17="Yes"),2,1)))))))</x:f>
      </x:c>
      <x:c r="N17" s="47" t="str">
        <x:f>IF(ISNUMBER(M17),CHOOSE(M17+1,"Absent/not considered","Informal or ad hoc","Documented and implemented","Managed and reviewed"),M17)</x:f>
      </x:c>
      <x:c r="O17" s="30"/>
    </x:row>
    <x:row r="18" ht="92" customHeight="1">
      <x:c r="A18" s="47" t="str">
        <x:v>Q11</x:v>
      </x:c>
      <x:c r="B18" s="47" t="str">
        <x:f>VLOOKUP(A18,'Question Guide'!$A$5:$L$16,2,FALSE)</x:f>
        <x:v>People and policy</x:v>
      </x:c>
      <x:c r="C18" s="47" t="str">
        <x:f>VLOOKUP(A18,'Question Guide'!$A$5:$L$16,3,FALSE)</x:f>
        <x:v>What guidance or training have employees received about responsible and secure AI use?</x:v>
      </x:c>
      <x:c r="D18" s="47" t="str">
        <x:f>VLOOKUP(A18,'Question Guide'!$A$5:$L$16,4,FALSE)</x:f>
        <x:v>Is it required? Does it cover approved tools, data, verification, disclosure, and reporting? How is it updated?</x:v>
      </x:c>
      <x:c r="E18" s="47" t="str">
        <x:f>VLOOKUP(A18,'Question Guide'!$A$5:$L$16,5,FALSE)</x:f>
        <x:v>Employees receive role-relevant AI policy, guidance, and awareness that are maintained as risks and use cases change.</x:v>
      </x:c>
      <x:c r="F18" s="30"/>
      <x:c r="G18" s="30"/>
      <x:c r="H18" s="30"/>
      <x:c r="I18" s="30"/>
      <x:c r="J18" s="30"/>
      <x:c r="K18" s="30"/>
      <x:c r="L18" s="30"/>
      <x:c r="M18" s="47" t="str">
        <x:f>IF(G18="","",IF(G18="No",0,IF(G18="Unknown","Needs review",IF(COUNTA(H18:J18)&lt;3,"Incomplete",IF(OR(H18="Unknown",I18="Unknown",J18="Unknown"),"Needs review",IF(AND(H18="Yes",I18="Yes",J18="Yes"),3,IF(AND(H18="Yes",I18="Yes"),2,1)))))))</x:f>
      </x:c>
      <x:c r="N18" s="47" t="str">
        <x:f>IF(ISNUMBER(M18),CHOOSE(M18+1,"Absent/not considered","Informal or ad hoc","Documented and implemented","Managed and reviewed"),M18)</x:f>
      </x:c>
      <x:c r="O18" s="30"/>
    </x:row>
    <x:row r="19" ht="92" customHeight="1">
      <x:c r="A19" s="47" t="str">
        <x:v>Q12</x:v>
      </x:c>
      <x:c r="B19" s="47" t="str">
        <x:f>VLOOKUP(A19,'Question Guide'!$A$5:$L$16,2,FALSE)</x:f>
        <x:v>Barriers and support</x:v>
      </x:c>
      <x:c r="C19" s="47" t="str">
        <x:f>VLOOKUP(A19,'Question Guide'!$A$5:$L$16,3,FALSE)</x:f>
        <x:v>What makes AI governance or cybersecurity difficult for your company, and what practical support would help?</x:v>
      </x:c>
      <x:c r="D19" s="47" t="str">
        <x:f>VLOOKUP(A19,'Question Guide'!$A$5:$L$16,4,FALSE)</x:f>
        <x:v>Probe for cost, time, skills, leadership priority, vendor information, unclear guidance, templates, training, assessments, or specialist advice.</x:v>
      </x:c>
      <x:c r="E19" s="47" t="str">
        <x:f>VLOOKUP(A19,'Question Guide'!$A$5:$L$16,5,FALSE)</x:f>
        <x:v>Qualitative context is collected to explain readiness results and identify practical support needs.</x:v>
      </x:c>
      <x:c r="F19" s="30"/>
      <x:c r="G19" s="64" t="str">
        <x:v>N/A</x:v>
      </x:c>
      <x:c r="H19" s="64" t="str">
        <x:v>N/A</x:v>
      </x:c>
      <x:c r="I19" s="64" t="str">
        <x:v>N/A</x:v>
      </x:c>
      <x:c r="J19" s="64" t="str">
        <x:v>N/A</x:v>
      </x:c>
      <x:c r="K19" s="30"/>
      <x:c r="L19" s="30"/>
      <x:c r="M19" s="65" t="str">
        <x:v>N/A</x:v>
      </x:c>
      <x:c r="N19" s="65" t="str">
        <x:v>Qualitative question — not scored</x:v>
      </x:c>
      <x:c r="O19" s="30"/>
    </x:row>
  </x:sheetData>
  <x:mergeCells>
    <x:mergeCell ref="A1:O1"/>
    <x:mergeCell ref="A5:O5"/>
  </x:mergeCells>
  <x:conditionalFormatting sqref="M8:M18">
    <x:cfRule type="cellIs" dxfId="28" priority="1" operator="equal">
      <x:formula>0</x:formula>
    </x:cfRule>
    <x:cfRule type="cellIs" dxfId="29" priority="2" operator="equal">
      <x:formula>1</x:formula>
    </x:cfRule>
    <x:cfRule type="cellIs" dxfId="30" priority="3" operator="equal">
      <x:formula>2</x:formula>
    </x:cfRule>
    <x:cfRule type="cellIs" dxfId="31" priority="4" operator="equal">
      <x:formula>3</x:formula>
    </x:cfRule>
  </x:conditionalFormatting>
  <x:dataValidations count="11">
    <x:dataValidation type="list" sqref="B2">
      <x:formula1>"SAIA,SCCCI,Both"</x:formula1>
    </x:dataValidation>
    <x:dataValidation type="list" sqref="F2">
      <x:formula1>"1–9,10–49,50–99,100–199,200+"</x:formula1>
    </x:dataValidation>
    <x:dataValidation type="list" sqref="H2">
      <x:formula1>"Exploring,Piloting,Operational use"</x:formula1>
    </x:dataValidation>
    <x:dataValidation type="list" sqref="D3">
      <x:formula1>"Lower,Moderate,Higher,To be assessed"</x:formula1>
    </x:dataValidation>
    <x:dataValidation type="list" sqref="H3">
      <x:formula1>"Yes,No"</x:formula1>
    </x:dataValidation>
    <x:dataValidation type="list" sqref="G8:G18">
      <x:formula1>"Yes,No,Unknown"</x:formula1>
    </x:dataValidation>
    <x:dataValidation type="list" sqref="H8:H18">
      <x:formula1>"Yes,No,Unknown"</x:formula1>
    </x:dataValidation>
    <x:dataValidation type="list" sqref="I8:I18">
      <x:formula1>"Yes,No,Unknown"</x:formula1>
    </x:dataValidation>
    <x:dataValidation type="list" sqref="J8:J18">
      <x:formula1>"Yes,No,Unknown"</x:formula1>
    </x:dataValidation>
    <x:dataValidation type="list" sqref="K8:K19">
      <x:formula1>"Statement only,Specific example described,Document described,Document observed,System evidence observed"</x:formula1>
    </x:dataValidation>
    <x:dataValidation type="list" sqref="L8:L19">
      <x:formula1>"Low,Medium,High"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4" hidden="0" customWidth="1"/>
    <x:col min="3" max="3" width="42" hidden="0" customWidth="1"/>
    <x:col min="4" max="4" width="43" hidden="0" customWidth="1"/>
    <x:col min="5" max="5" width="44" hidden="0" customWidth="1"/>
    <x:col min="6" max="6" width="58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24" hidden="0" customWidth="1"/>
    <x:col min="12" max="12" width="14" hidden="0" customWidth="1"/>
    <x:col min="13" max="13" width="14" hidden="0" customWidth="1"/>
    <x:col min="14" max="14" width="31" hidden="0" customWidth="1"/>
    <x:col min="15" max="15" width="36" hidden="0" customWidth="1"/>
  </x:cols>
  <x:sheetData>
    <x:row r="1" ht="36" customHeight="1">
      <x:c r="A1" s="3" t="str">
        <x:v>SME-09 — AI governance and cybersecurity interview form</x:v>
      </x:c>
      <x:c r="B1" s="3" t="str">
        <x:v>SME-09 — AI governance and cybersecurity interview form</x:v>
      </x:c>
      <x:c r="C1" s="3" t="str">
        <x:v>SME-09 — AI governance and cybersecurity interview form</x:v>
      </x:c>
      <x:c r="D1" s="3" t="str">
        <x:v>SME-09 — AI governance and cybersecurity interview form</x:v>
      </x:c>
      <x:c r="E1" s="3" t="str">
        <x:v>SME-09 — AI governance and cybersecurity interview form</x:v>
      </x:c>
      <x:c r="F1" s="3" t="str">
        <x:v>SME-09 — AI governance and cybersecurity interview form</x:v>
      </x:c>
      <x:c r="G1" s="3" t="str">
        <x:v>SME-09 — AI governance and cybersecurity interview form</x:v>
      </x:c>
      <x:c r="H1" s="3" t="str">
        <x:v>SME-09 — AI governance and cybersecurity interview form</x:v>
      </x:c>
      <x:c r="I1" s="3" t="str">
        <x:v>SME-09 — AI governance and cybersecurity interview form</x:v>
      </x:c>
      <x:c r="J1" s="3" t="str">
        <x:v>SME-09 — AI governance and cybersecurity interview form</x:v>
      </x:c>
      <x:c r="K1" s="3" t="str">
        <x:v>SME-09 — AI governance and cybersecurity interview form</x:v>
      </x:c>
      <x:c r="L1" s="3" t="str">
        <x:v>SME-09 — AI governance and cybersecurity interview form</x:v>
      </x:c>
      <x:c r="M1" s="3" t="str">
        <x:v>SME-09 — AI governance and cybersecurity interview form</x:v>
      </x:c>
      <x:c r="N1" s="3" t="str">
        <x:v>SME-09 — AI governance and cybersecurity interview form</x:v>
      </x:c>
      <x:c r="O1" s="3" t="str">
        <x:v>SME-09 — AI governance and cybersecurity interview form</x:v>
      </x:c>
    </x:row>
    <x:row r="2">
      <x:c r="A2" s="51" t="str">
        <x:v>Recruitment channel</x:v>
      </x:c>
      <x:c r="B2" s="27" t="str"/>
      <x:c r="C2" s="51" t="str">
        <x:v>Sector</x:v>
      </x:c>
      <x:c r="D2" s="27" t="str"/>
      <x:c r="E2" s="51" t="str">
        <x:v>Employee range</x:v>
      </x:c>
      <x:c r="F2" s="27" t="str"/>
      <x:c r="G2" s="51" t="str">
        <x:v>AI adoption stage</x:v>
      </x:c>
      <x:c r="H2" s="27" t="str"/>
      <x:c r="I2" s="51" t="str">
        <x:v>Interview date</x:v>
      </x:c>
      <x:c r="J2" s="53" t="str"/>
    </x:row>
    <x:row r="3">
      <x:c r="A3" s="52" t="str">
        <x:v>Primary GenAI use case</x:v>
      </x:c>
      <x:c r="B3" s="30" t="str"/>
      <x:c r="C3" s="52" t="str">
        <x:v>Risk exposure</x:v>
      </x:c>
      <x:c r="D3" s="30" t="str"/>
      <x:c r="E3" s="52" t="str">
        <x:v>Respondent role</x:v>
      </x:c>
      <x:c r="F3" s="30" t="str"/>
      <x:c r="G3" s="52" t="str">
        <x:v>Consent confirmed?</x:v>
      </x:c>
      <x:c r="H3" s="30" t="str"/>
      <x:c r="I3" s="52" t="str">
        <x:v>Interviewer</x:v>
      </x:c>
      <x:c r="J3" s="30" t="str">
        <x:v>Maria Singh</x:v>
      </x:c>
    </x:row>
    <x:row r="5" ht="38" customHeight="1">
      <x:c r="A5" s="43" t="str">
        <x:v>During the interview: ask the question naturally and record the answer. After the answer: code the four evidence checks using the Question Guide. Yellow = your input; green/gray = automatic or fixed.</x:v>
      </x:c>
      <x:c r="B5" s="43" t="str">
        <x:v>During the interview: ask the question naturally and record the answer. After the answer: code the four evidence checks using the Question Guide. Yellow = your input; green/gray = automatic or fixed.</x:v>
      </x:c>
      <x:c r="C5" s="43" t="str">
        <x:v>During the interview: ask the question naturally and record the answer. After the answer: code the four evidence checks using the Question Guide. Yellow = your input; green/gray = automatic or fixed.</x:v>
      </x:c>
      <x:c r="D5" s="43" t="str">
        <x:v>During the interview: ask the question naturally and record the answer. After the answer: code the four evidence checks using the Question Guide. Yellow = your input; green/gray = automatic or fixed.</x:v>
      </x:c>
      <x:c r="E5" s="43" t="str">
        <x:v>During the interview: ask the question naturally and record the answer. After the answer: code the four evidence checks using the Question Guide. Yellow = your input; green/gray = automatic or fixed.</x:v>
      </x:c>
      <x:c r="F5" s="43" t="str">
        <x:v>During the interview: ask the question naturally and record the answer. After the answer: code the four evidence checks using the Question Guide. Yellow = your input; green/gray = automatic or fixed.</x:v>
      </x:c>
      <x:c r="G5" s="43" t="str">
        <x:v>During the interview: ask the question naturally and record the answer. After the answer: code the four evidence checks using the Question Guide. Yellow = your input; green/gray = automatic or fixed.</x:v>
      </x:c>
      <x:c r="H5" s="43" t="str">
        <x:v>During the interview: ask the question naturally and record the answer. After the answer: code the four evidence checks using the Question Guide. Yellow = your input; green/gray = automatic or fixed.</x:v>
      </x:c>
      <x:c r="I5" s="43" t="str">
        <x:v>During the interview: ask the question naturally and record the answer. After the answer: code the four evidence checks using the Question Guide. Yellow = your input; green/gray = automatic or fixed.</x:v>
      </x:c>
      <x:c r="J5" s="43" t="str">
        <x:v>During the interview: ask the question naturally and record the answer. After the answer: code the four evidence checks using the Question Guide. Yellow = your input; green/gray = automatic or fixed.</x:v>
      </x:c>
      <x:c r="K5" s="43" t="str">
        <x:v>During the interview: ask the question naturally and record the answer. After the answer: code the four evidence checks using the Question Guide. Yellow = your input; green/gray = automatic or fixed.</x:v>
      </x:c>
      <x:c r="L5" s="43" t="str">
        <x:v>During the interview: ask the question naturally and record the answer. After the answer: code the four evidence checks using the Question Guide. Yellow = your input; green/gray = automatic or fixed.</x:v>
      </x:c>
      <x:c r="M5" s="43" t="str">
        <x:v>During the interview: ask the question naturally and record the answer. After the answer: code the four evidence checks using the Question Guide. Yellow = your input; green/gray = automatic or fixed.</x:v>
      </x:c>
      <x:c r="N5" s="43" t="str">
        <x:v>During the interview: ask the question naturally and record the answer. After the answer: code the four evidence checks using the Question Guide. Yellow = your input; green/gray = automatic or fixed.</x:v>
      </x:c>
      <x:c r="O5" s="43" t="str">
        <x:v>During the interview: ask the question naturally and record the answer. After the answer: code the four evidence checks using the Question Guide. Yellow = your input; green/gray = automatic or fixed.</x:v>
      </x:c>
    </x:row>
    <x:row r="7" ht="48" customHeight="1">
      <x:c r="A7" s="12" t="str">
        <x:v>Q ID</x:v>
      </x:c>
      <x:c r="B7" s="13" t="str">
        <x:v>Domain</x:v>
      </x:c>
      <x:c r="C7" s="13" t="str">
        <x:v>Question to ask</x:v>
      </x:c>
      <x:c r="D7" s="13" t="str">
        <x:v>Suggested probes</x:v>
      </x:c>
      <x:c r="E7" s="13" t="str">
        <x:v>Control being measured</x:v>
      </x:c>
      <x:c r="F7" s="13" t="str">
        <x:v>Response/evidence notes</x:v>
      </x:c>
      <x:c r="G7" s="13" t="str">
        <x:v>Practice exists?</x:v>
      </x:c>
      <x:c r="H7" s="13" t="str">
        <x:v>Documented?</x:v>
      </x:c>
      <x:c r="I7" s="13" t="str">
        <x:v>Implemented?</x:v>
      </x:c>
      <x:c r="J7" s="13" t="str">
        <x:v>Reviewed?</x:v>
      </x:c>
      <x:c r="K7" s="13" t="str">
        <x:v>Evidence basis</x:v>
      </x:c>
      <x:c r="L7" s="13" t="str">
        <x:v>Confidence</x:v>
      </x:c>
      <x:c r="M7" s="13" t="str">
        <x:v>Auto score</x:v>
      </x:c>
      <x:c r="N7" s="13" t="str">
        <x:v>Score meaning</x:v>
      </x:c>
      <x:c r="O7" s="14" t="str">
        <x:v>Barrier/support notes</x:v>
      </x:c>
    </x:row>
    <x:row r="8" ht="92" customHeight="1">
      <x:c r="A8" s="46" t="str">
        <x:v>Q01</x:v>
      </x:c>
      <x:c r="B8" s="46" t="str">
        <x:f>VLOOKUP(A8,'Question Guide'!$A$5:$L$16,2,FALSE)</x:f>
        <x:v>AI use context</x:v>
      </x:c>
      <x:c r="C8" s="46" t="str">
        <x:f>VLOOKUP(A8,'Question Guide'!$A$5:$L$16,3,FALSE)</x:f>
        <x:v>What generative AI tools or use cases is your company exploring or using?</x:v>
      </x:c>
      <x:c r="D8" s="46" t="str">
        <x:f>VLOOKUP(A8,'Question Guide'!$A$5:$L$16,4,FALSE)</x:f>
        <x:v>Who uses them? For what process? What information is involved? When was the list last checked?</x:v>
      </x:c>
      <x:c r="E8" s="46" t="str">
        <x:f>VLOOKUP(A8,'Question Guide'!$A$5:$L$16,5,FALSE)</x:f>
        <x:v>AI use cases are identified, recorded, assigned an owner, and kept current.</x:v>
      </x:c>
      <x:c r="F8" s="27"/>
      <x:c r="G8" s="27"/>
      <x:c r="H8" s="27"/>
      <x:c r="I8" s="27"/>
      <x:c r="J8" s="27"/>
      <x:c r="K8" s="27"/>
      <x:c r="L8" s="27"/>
      <x:c r="M8" s="46" t="str">
        <x:f>IF(G8="","",IF(G8="No",0,IF(G8="Unknown","Needs review",IF(COUNTA(H8:J8)&lt;3,"Incomplete",IF(OR(H8="Unknown",I8="Unknown",J8="Unknown"),"Needs review",IF(AND(H8="Yes",I8="Yes",J8="Yes"),3,IF(AND(H8="Yes",I8="Yes"),2,1)))))))</x:f>
      </x:c>
      <x:c r="N8" s="46" t="str">
        <x:f>IF(ISNUMBER(M8),CHOOSE(M8+1,"Absent/not considered","Informal or ad hoc","Documented and implemented","Managed and reviewed"),M8)</x:f>
      </x:c>
      <x:c r="O8" s="27"/>
    </x:row>
    <x:row r="9" ht="92" customHeight="1">
      <x:c r="A9" s="47" t="str">
        <x:v>Q02</x:v>
      </x:c>
      <x:c r="B9" s="47" t="str">
        <x:f>VLOOKUP(A9,'Question Guide'!$A$5:$L$16,2,FALSE)</x:f>
        <x:v>Accountability and governance</x:v>
      </x:c>
      <x:c r="C9" s="47" t="str">
        <x:f>VLOOKUP(A9,'Question Guide'!$A$5:$L$16,3,FALSE)</x:f>
        <x:v>Who is responsible for approving and overseeing AI use?</x:v>
      </x:c>
      <x:c r="D9" s="47" t="str">
        <x:f>VLOOKUP(A9,'Question Guide'!$A$5:$L$16,4,FALSE)</x:f>
        <x:v>Who can approve, stop, or change a use case? When was this authority last used?</x:v>
      </x:c>
      <x:c r="E9" s="47" t="str">
        <x:f>VLOOKUP(A9,'Question Guide'!$A$5:$L$16,5,FALSE)</x:f>
        <x:v>AI decision rights, ownership, approval, and escalation responsibilities are assigned.</x:v>
      </x:c>
      <x:c r="F9" s="30"/>
      <x:c r="G9" s="30"/>
      <x:c r="H9" s="30"/>
      <x:c r="I9" s="30"/>
      <x:c r="J9" s="30"/>
      <x:c r="K9" s="30"/>
      <x:c r="L9" s="30"/>
      <x:c r="M9" s="47" t="str">
        <x:f>IF(G9="","",IF(G9="No",0,IF(G9="Unknown","Needs review",IF(COUNTA(H9:J9)&lt;3,"Incomplete",IF(OR(H9="Unknown",I9="Unknown",J9="Unknown"),"Needs review",IF(AND(H9="Yes",I9="Yes",J9="Yes"),3,IF(AND(H9="Yes",I9="Yes"),2,1)))))))</x:f>
      </x:c>
      <x:c r="N9" s="47" t="str">
        <x:f>IF(ISNUMBER(M9),CHOOSE(M9+1,"Absent/not considered","Informal or ad hoc","Documented and implemented","Managed and reviewed"),M9)</x:f>
      </x:c>
      <x:c r="O9" s="30"/>
    </x:row>
    <x:row r="10" ht="92" customHeight="1">
      <x:c r="A10" s="47" t="str">
        <x:v>Q03</x:v>
      </x:c>
      <x:c r="B10" s="47" t="str">
        <x:f>VLOOKUP(A10,'Question Guide'!$A$5:$L$16,2,FALSE)</x:f>
        <x:v>Accountability and governance</x:v>
      </x:c>
      <x:c r="C10" s="47" t="str">
        <x:f>VLOOKUP(A10,'Question Guide'!$A$5:$L$16,3,FALSE)</x:f>
        <x:v>Before an AI use case is approved, what risks does the company consider?</x:v>
      </x:c>
      <x:c r="D10" s="47" t="str">
        <x:f>VLOOKUP(A10,'Question Guide'!$A$5:$L$16,4,FALSE)</x:f>
        <x:v>Describe the most recent review. Were sensitive data, customer impact, autonomy, accuracy, and consequences considered?</x:v>
      </x:c>
      <x:c r="E10" s="47" t="str">
        <x:f>VLOOKUP(A10,'Question Guide'!$A$5:$L$16,5,FALSE)</x:f>
        <x:v>AI use cases undergo a risk review before approval and when material changes occur.</x:v>
      </x:c>
      <x:c r="F10" s="30"/>
      <x:c r="G10" s="30"/>
      <x:c r="H10" s="30"/>
      <x:c r="I10" s="30"/>
      <x:c r="J10" s="30"/>
      <x:c r="K10" s="30"/>
      <x:c r="L10" s="30"/>
      <x:c r="M10" s="47" t="str">
        <x:f>IF(G10="","",IF(G10="No",0,IF(G10="Unknown","Needs review",IF(COUNTA(H10:J10)&lt;3,"Incomplete",IF(OR(H10="Unknown",I10="Unknown",J10="Unknown"),"Needs review",IF(AND(H10="Yes",I10="Yes",J10="Yes"),3,IF(AND(H10="Yes",I10="Yes"),2,1)))))))</x:f>
      </x:c>
      <x:c r="N10" s="47" t="str">
        <x:f>IF(ISNUMBER(M10),CHOOSE(M10+1,"Absent/not considered","Informal or ad hoc","Documented and implemented","Managed and reviewed"),M10)</x:f>
      </x:c>
      <x:c r="O10" s="30"/>
    </x:row>
    <x:row r="11" ht="92" customHeight="1">
      <x:c r="A11" s="47" t="str">
        <x:v>Q04</x:v>
      </x:c>
      <x:c r="B11" s="47" t="str">
        <x:f>VLOOKUP(A11,'Question Guide'!$A$5:$L$16,2,FALSE)</x:f>
        <x:v>Data protection</x:v>
      </x:c>
      <x:c r="C11" s="47" t="str">
        <x:f>VLOOKUP(A11,'Question Guide'!$A$5:$L$16,3,FALSE)</x:f>
        <x:v>What information may or may not be entered into generative AI tools?</x:v>
      </x:c>
      <x:c r="D11" s="47" t="str">
        <x:f>VLOOKUP(A11,'Question Guide'!$A$5:$L$16,4,FALSE)</x:f>
        <x:v>How do employees know? Are customer, employee, financial, confidential, or regulated data addressed?</x:v>
      </x:c>
      <x:c r="E11" s="47" t="str">
        <x:f>VLOOKUP(A11,'Question Guide'!$A$5:$L$16,5,FALSE)</x:f>
        <x:v>Rules govern the data employees may enter into AI tools and how AI-generated information may be handled.</x:v>
      </x:c>
      <x:c r="F11" s="30"/>
      <x:c r="G11" s="30"/>
      <x:c r="H11" s="30"/>
      <x:c r="I11" s="30"/>
      <x:c r="J11" s="30"/>
      <x:c r="K11" s="30"/>
      <x:c r="L11" s="30"/>
      <x:c r="M11" s="47" t="str">
        <x:f>IF(G11="","",IF(G11="No",0,IF(G11="Unknown","Needs review",IF(COUNTA(H11:J11)&lt;3,"Incomplete",IF(OR(H11="Unknown",I11="Unknown",J11="Unknown"),"Needs review",IF(AND(H11="Yes",I11="Yes",J11="Yes"),3,IF(AND(H11="Yes",I11="Yes"),2,1)))))))</x:f>
      </x:c>
      <x:c r="N11" s="47" t="str">
        <x:f>IF(ISNUMBER(M11),CHOOSE(M11+1,"Absent/not considered","Informal or ad hoc","Documented and implemented","Managed and reviewed"),M11)</x:f>
      </x:c>
      <x:c r="O11" s="30"/>
    </x:row>
    <x:row r="12" ht="92" customHeight="1">
      <x:c r="A12" s="47" t="str">
        <x:v>Q05</x:v>
      </x:c>
      <x:c r="B12" s="47" t="str">
        <x:f>VLOOKUP(A12,'Question Guide'!$A$5:$L$16,2,FALSE)</x:f>
        <x:v>Third-party management</x:v>
      </x:c>
      <x:c r="C12" s="47" t="str">
        <x:f>VLOOKUP(A12,'Question Guide'!$A$5:$L$16,3,FALSE)</x:f>
        <x:v>How do you decide whether an AI vendor or tool is trustworthy enough to use?</x:v>
      </x:c>
      <x:c r="D12" s="47" t="str">
        <x:f>VLOOKUP(A12,'Question Guide'!$A$5:$L$16,4,FALSE)</x:f>
        <x:v>Do you examine retention, model training, security, subcontractors, location, incident terms, and contracts?</x:v>
      </x:c>
      <x:c r="E12" s="47" t="str">
        <x:f>VLOOKUP(A12,'Question Guide'!$A$5:$L$16,5,FALSE)</x:f>
        <x:v>AI vendors receive risk-based security, privacy, data-use, and contractual review before and during use.</x:v>
      </x:c>
      <x:c r="F12" s="30"/>
      <x:c r="G12" s="30"/>
      <x:c r="H12" s="30"/>
      <x:c r="I12" s="30"/>
      <x:c r="J12" s="30"/>
      <x:c r="K12" s="30"/>
      <x:c r="L12" s="30"/>
      <x:c r="M12" s="47" t="str">
        <x:f>IF(G12="","",IF(G12="No",0,IF(G12="Unknown","Needs review",IF(COUNTA(H12:J12)&lt;3,"Incomplete",IF(OR(H12="Unknown",I12="Unknown",J12="Unknown"),"Needs review",IF(AND(H12="Yes",I12="Yes",J12="Yes"),3,IF(AND(H12="Yes",I12="Yes"),2,1)))))))</x:f>
      </x:c>
      <x:c r="N12" s="47" t="str">
        <x:f>IF(ISNUMBER(M12),CHOOSE(M12+1,"Absent/not considered","Informal or ad hoc","Documented and implemented","Managed and reviewed"),M12)</x:f>
      </x:c>
      <x:c r="O12" s="30"/>
    </x:row>
    <x:row r="13" ht="92" customHeight="1">
      <x:c r="A13" s="47" t="str">
        <x:v>Q06</x:v>
      </x:c>
      <x:c r="B13" s="47" t="str">
        <x:f>VLOOKUP(A13,'Question Guide'!$A$5:$L$16,2,FALSE)</x:f>
        <x:v>Access and integration security</x:v>
      </x:c>
      <x:c r="C13" s="47" t="str">
        <x:f>VLOOKUP(A13,'Question Guide'!$A$5:$L$16,3,FALSE)</x:f>
        <x:v>How is access to AI tools and connected company systems managed?</x:v>
      </x:c>
      <x:c r="D13" s="47" t="str">
        <x:f>VLOOKUP(A13,'Question Guide'!$A$5:$L$16,4,FALSE)</x:f>
        <x:v>Are accounts shared? Is MFA used? What data can the tool retrieve? What actions can it take? What happens when someone leaves?</x:v>
      </x:c>
      <x:c r="E13" s="47" t="str">
        <x:f>VLOOKUP(A13,'Question Guide'!$A$5:$L$16,5,FALSE)</x:f>
        <x:v>AI access and integrations use individual identity, least privilege, controlled permissions, and timely removal.</x:v>
      </x:c>
      <x:c r="F13" s="30"/>
      <x:c r="G13" s="30"/>
      <x:c r="H13" s="30"/>
      <x:c r="I13" s="30"/>
      <x:c r="J13" s="30"/>
      <x:c r="K13" s="30"/>
      <x:c r="L13" s="30"/>
      <x:c r="M13" s="47" t="str">
        <x:f>IF(G13="","",IF(G13="No",0,IF(G13="Unknown","Needs review",IF(COUNTA(H13:J13)&lt;3,"Incomplete",IF(OR(H13="Unknown",I13="Unknown",J13="Unknown"),"Needs review",IF(AND(H13="Yes",I13="Yes",J13="Yes"),3,IF(AND(H13="Yes",I13="Yes"),2,1)))))))</x:f>
      </x:c>
      <x:c r="N13" s="47" t="str">
        <x:f>IF(ISNUMBER(M13),CHOOSE(M13+1,"Absent/not considered","Informal or ad hoc","Documented and implemented","Managed and reviewed"),M13)</x:f>
      </x:c>
      <x:c r="O13" s="30"/>
    </x:row>
    <x:row r="14" ht="92" customHeight="1">
      <x:c r="A14" s="47" t="str">
        <x:v>Q07</x:v>
      </x:c>
      <x:c r="B14" s="47" t="str">
        <x:f>VLOOKUP(A14,'Question Guide'!$A$5:$L$16,2,FALSE)</x:f>
        <x:v>Human oversight</x:v>
      </x:c>
      <x:c r="C14" s="47" t="str">
        <x:f>VLOOKUP(A14,'Question Guide'!$A$5:$L$16,3,FALSE)</x:f>
        <x:v>Which AI-generated outputs or actions require human review?</x:v>
      </x:c>
      <x:c r="D14" s="47" t="str">
        <x:f>VLOOKUP(A14,'Question Guide'!$A$5:$L$16,4,FALSE)</x:f>
        <x:v>Who reviews them? What are they checking? What happens when confidence is low or a customer may be affected?</x:v>
      </x:c>
      <x:c r="E14" s="47" t="str">
        <x:f>VLOOKUP(A14,'Question Guide'!$A$5:$L$16,5,FALSE)</x:f>
        <x:v>Risk-based human review, decision authority, override, and escalation are defined for consequential AI outputs or actions.</x:v>
      </x:c>
      <x:c r="F14" s="30"/>
      <x:c r="G14" s="30"/>
      <x:c r="H14" s="30"/>
      <x:c r="I14" s="30"/>
      <x:c r="J14" s="30"/>
      <x:c r="K14" s="30"/>
      <x:c r="L14" s="30"/>
      <x:c r="M14" s="47" t="str">
        <x:f>IF(G14="","",IF(G14="No",0,IF(G14="Unknown","Needs review",IF(COUNTA(H14:J14)&lt;3,"Incomplete",IF(OR(H14="Unknown",I14="Unknown",J14="Unknown"),"Needs review",IF(AND(H14="Yes",I14="Yes",J14="Yes"),3,IF(AND(H14="Yes",I14="Yes"),2,1)))))))</x:f>
      </x:c>
      <x:c r="N14" s="47" t="str">
        <x:f>IF(ISNUMBER(M14),CHOOSE(M14+1,"Absent/not considered","Informal or ad hoc","Documented and implemented","Managed and reviewed"),M14)</x:f>
      </x:c>
      <x:c r="O14" s="30"/>
    </x:row>
    <x:row r="15" ht="92" customHeight="1">
      <x:c r="A15" s="47" t="str">
        <x:v>Q08</x:v>
      </x:c>
      <x:c r="B15" s="47" t="str">
        <x:f>VLOOKUP(A15,'Question Guide'!$A$5:$L$16,2,FALSE)</x:f>
        <x:v>Testing and assurance</x:v>
      </x:c>
      <x:c r="C15" s="47" t="str">
        <x:f>VLOOKUP(A15,'Question Guide'!$A$5:$L$16,3,FALSE)</x:f>
        <x:v>How do you determine whether an AI system or output is accurate and reliable enough for its intended use?</x:v>
      </x:c>
      <x:c r="D15" s="47" t="str">
        <x:f>VLOOKUP(A15,'Question Guide'!$A$5:$L$16,4,FALSE)</x:f>
        <x:v>What was tested before use? Which failures matter? What acceptance level is required? Is testing repeated after change?</x:v>
      </x:c>
      <x:c r="E15" s="47" t="str">
        <x:f>VLOOKUP(A15,'Question Guide'!$A$5:$L$16,5,FALSE)</x:f>
        <x:v>AI use cases are tested against documented fitness, safety, security, and reliability criteria before use and after material change.</x:v>
      </x:c>
      <x:c r="F15" s="30"/>
      <x:c r="G15" s="30"/>
      <x:c r="H15" s="30"/>
      <x:c r="I15" s="30"/>
      <x:c r="J15" s="30"/>
      <x:c r="K15" s="30"/>
      <x:c r="L15" s="30"/>
      <x:c r="M15" s="47" t="str">
        <x:f>IF(G15="","",IF(G15="No",0,IF(G15="Unknown","Needs review",IF(COUNTA(H15:J15)&lt;3,"Incomplete",IF(OR(H15="Unknown",I15="Unknown",J15="Unknown"),"Needs review",IF(AND(H15="Yes",I15="Yes",J15="Yes"),3,IF(AND(H15="Yes",I15="Yes"),2,1)))))))</x:f>
      </x:c>
      <x:c r="N15" s="47" t="str">
        <x:f>IF(ISNUMBER(M15),CHOOSE(M15+1,"Absent/not considered","Informal or ad hoc","Documented and implemented","Managed and reviewed"),M15)</x:f>
      </x:c>
      <x:c r="O15" s="30"/>
    </x:row>
    <x:row r="16" ht="92" customHeight="1">
      <x:c r="A16" s="47" t="str">
        <x:v>Q09</x:v>
      </x:c>
      <x:c r="B16" s="47" t="str">
        <x:f>VLOOKUP(A16,'Question Guide'!$A$5:$L$16,2,FALSE)</x:f>
        <x:v>Monitoring and change</x:v>
      </x:c>
      <x:c r="C16" s="47" t="str">
        <x:f>VLOOKUP(A16,'Question Guide'!$A$5:$L$16,3,FALSE)</x:f>
        <x:v>After an AI use case goes live, how do you know it continues to operate safely and as intended?</x:v>
      </x:c>
      <x:c r="D16" s="47" t="str">
        <x:f>VLOOKUP(A16,'Question Guide'!$A$5:$L$16,4,FALSE)</x:f>
        <x:v>What is logged? Who reviews errors, complaints, vendor changes, unusual behavior, or declining quality?</x:v>
      </x:c>
      <x:c r="E16" s="47" t="str">
        <x:f>VLOOKUP(A16,'Question Guide'!$A$5:$L$16,5,FALSE)</x:f>
        <x:v>Operational AI use is monitored using assigned metrics, logs, issues, thresholds, and change triggers.</x:v>
      </x:c>
      <x:c r="F16" s="30"/>
      <x:c r="G16" s="30"/>
      <x:c r="H16" s="30"/>
      <x:c r="I16" s="30"/>
      <x:c r="J16" s="30"/>
      <x:c r="K16" s="30"/>
      <x:c r="L16" s="30"/>
      <x:c r="M16" s="47" t="str">
        <x:f>IF(G16="","",IF(G16="No",0,IF(G16="Unknown","Needs review",IF(COUNTA(H16:J16)&lt;3,"Incomplete",IF(OR(H16="Unknown",I16="Unknown",J16="Unknown"),"Needs review",IF(AND(H16="Yes",I16="Yes",J16="Yes"),3,IF(AND(H16="Yes",I16="Yes"),2,1)))))))</x:f>
      </x:c>
      <x:c r="N16" s="47" t="str">
        <x:f>IF(ISNUMBER(M16),CHOOSE(M16+1,"Absent/not considered","Informal or ad hoc","Documented and implemented","Managed and reviewed"),M16)</x:f>
      </x:c>
      <x:c r="O16" s="30"/>
    </x:row>
    <x:row r="17" ht="92" customHeight="1">
      <x:c r="A17" s="47" t="str">
        <x:v>Q10</x:v>
      </x:c>
      <x:c r="B17" s="47" t="str">
        <x:f>VLOOKUP(A17,'Question Guide'!$A$5:$L$16,2,FALSE)</x:f>
        <x:v>Incident response</x:v>
      </x:c>
      <x:c r="C17" s="47" t="str">
        <x:f>VLOOKUP(A17,'Question Guide'!$A$5:$L$16,3,FALSE)</x:f>
        <x:v>What would happen if an AI tool exposed sensitive information, produced harmful content, or took an unintended action?</x:v>
      </x:c>
      <x:c r="D17" s="47" t="str">
        <x:f>VLOOKUP(A17,'Question Guide'!$A$5:$L$16,4,FALSE)</x:f>
        <x:v>Who is notified? Can use be suspended? Is the vendor contacted? Has an AI scenario been exercised?</x:v>
      </x:c>
      <x:c r="E17" s="47" t="str">
        <x:f>VLOOKUP(A17,'Question Guide'!$A$5:$L$16,5,FALSE)</x:f>
        <x:v>AI-related events can be identified, contained, escalated, reported, investigated, and used to improve controls.</x:v>
      </x:c>
      <x:c r="F17" s="30"/>
      <x:c r="G17" s="30"/>
      <x:c r="H17" s="30"/>
      <x:c r="I17" s="30"/>
      <x:c r="J17" s="30"/>
      <x:c r="K17" s="30"/>
      <x:c r="L17" s="30"/>
      <x:c r="M17" s="47" t="str">
        <x:f>IF(G17="","",IF(G17="No",0,IF(G17="Unknown","Needs review",IF(COUNTA(H17:J17)&lt;3,"Incomplete",IF(OR(H17="Unknown",I17="Unknown",J17="Unknown"),"Needs review",IF(AND(H17="Yes",I17="Yes",J17="Yes"),3,IF(AND(H17="Yes",I17="Yes"),2,1)))))))</x:f>
      </x:c>
      <x:c r="N17" s="47" t="str">
        <x:f>IF(ISNUMBER(M17),CHOOSE(M17+1,"Absent/not considered","Informal or ad hoc","Documented and implemented","Managed and reviewed"),M17)</x:f>
      </x:c>
      <x:c r="O17" s="30"/>
    </x:row>
    <x:row r="18" ht="92" customHeight="1">
      <x:c r="A18" s="47" t="str">
        <x:v>Q11</x:v>
      </x:c>
      <x:c r="B18" s="47" t="str">
        <x:f>VLOOKUP(A18,'Question Guide'!$A$5:$L$16,2,FALSE)</x:f>
        <x:v>People and policy</x:v>
      </x:c>
      <x:c r="C18" s="47" t="str">
        <x:f>VLOOKUP(A18,'Question Guide'!$A$5:$L$16,3,FALSE)</x:f>
        <x:v>What guidance or training have employees received about responsible and secure AI use?</x:v>
      </x:c>
      <x:c r="D18" s="47" t="str">
        <x:f>VLOOKUP(A18,'Question Guide'!$A$5:$L$16,4,FALSE)</x:f>
        <x:v>Is it required? Does it cover approved tools, data, verification, disclosure, and reporting? How is it updated?</x:v>
      </x:c>
      <x:c r="E18" s="47" t="str">
        <x:f>VLOOKUP(A18,'Question Guide'!$A$5:$L$16,5,FALSE)</x:f>
        <x:v>Employees receive role-relevant AI policy, guidance, and awareness that are maintained as risks and use cases change.</x:v>
      </x:c>
      <x:c r="F18" s="30"/>
      <x:c r="G18" s="30"/>
      <x:c r="H18" s="30"/>
      <x:c r="I18" s="30"/>
      <x:c r="J18" s="30"/>
      <x:c r="K18" s="30"/>
      <x:c r="L18" s="30"/>
      <x:c r="M18" s="47" t="str">
        <x:f>IF(G18="","",IF(G18="No",0,IF(G18="Unknown","Needs review",IF(COUNTA(H18:J18)&lt;3,"Incomplete",IF(OR(H18="Unknown",I18="Unknown",J18="Unknown"),"Needs review",IF(AND(H18="Yes",I18="Yes",J18="Yes"),3,IF(AND(H18="Yes",I18="Yes"),2,1)))))))</x:f>
      </x:c>
      <x:c r="N18" s="47" t="str">
        <x:f>IF(ISNUMBER(M18),CHOOSE(M18+1,"Absent/not considered","Informal or ad hoc","Documented and implemented","Managed and reviewed"),M18)</x:f>
      </x:c>
      <x:c r="O18" s="30"/>
    </x:row>
    <x:row r="19" ht="92" customHeight="1">
      <x:c r="A19" s="47" t="str">
        <x:v>Q12</x:v>
      </x:c>
      <x:c r="B19" s="47" t="str">
        <x:f>VLOOKUP(A19,'Question Guide'!$A$5:$L$16,2,FALSE)</x:f>
        <x:v>Barriers and support</x:v>
      </x:c>
      <x:c r="C19" s="47" t="str">
        <x:f>VLOOKUP(A19,'Question Guide'!$A$5:$L$16,3,FALSE)</x:f>
        <x:v>What makes AI governance or cybersecurity difficult for your company, and what practical support would help?</x:v>
      </x:c>
      <x:c r="D19" s="47" t="str">
        <x:f>VLOOKUP(A19,'Question Guide'!$A$5:$L$16,4,FALSE)</x:f>
        <x:v>Probe for cost, time, skills, leadership priority, vendor information, unclear guidance, templates, training, assessments, or specialist advice.</x:v>
      </x:c>
      <x:c r="E19" s="47" t="str">
        <x:f>VLOOKUP(A19,'Question Guide'!$A$5:$L$16,5,FALSE)</x:f>
        <x:v>Qualitative context is collected to explain readiness results and identify practical support needs.</x:v>
      </x:c>
      <x:c r="F19" s="30"/>
      <x:c r="G19" s="64" t="str">
        <x:v>N/A</x:v>
      </x:c>
      <x:c r="H19" s="64" t="str">
        <x:v>N/A</x:v>
      </x:c>
      <x:c r="I19" s="64" t="str">
        <x:v>N/A</x:v>
      </x:c>
      <x:c r="J19" s="64" t="str">
        <x:v>N/A</x:v>
      </x:c>
      <x:c r="K19" s="30"/>
      <x:c r="L19" s="30"/>
      <x:c r="M19" s="65" t="str">
        <x:v>N/A</x:v>
      </x:c>
      <x:c r="N19" s="65" t="str">
        <x:v>Qualitative question — not scored</x:v>
      </x:c>
      <x:c r="O19" s="30"/>
    </x:row>
  </x:sheetData>
  <x:mergeCells>
    <x:mergeCell ref="A1:O1"/>
    <x:mergeCell ref="A5:O5"/>
  </x:mergeCells>
  <x:conditionalFormatting sqref="M8:M18">
    <x:cfRule type="cellIs" dxfId="32" priority="1" operator="equal">
      <x:formula>0</x:formula>
    </x:cfRule>
    <x:cfRule type="cellIs" dxfId="33" priority="2" operator="equal">
      <x:formula>1</x:formula>
    </x:cfRule>
    <x:cfRule type="cellIs" dxfId="34" priority="3" operator="equal">
      <x:formula>2</x:formula>
    </x:cfRule>
    <x:cfRule type="cellIs" dxfId="35" priority="4" operator="equal">
      <x:formula>3</x:formula>
    </x:cfRule>
  </x:conditionalFormatting>
  <x:dataValidations count="11">
    <x:dataValidation type="list" sqref="B2">
      <x:formula1>"SAIA,SCCCI,Both"</x:formula1>
    </x:dataValidation>
    <x:dataValidation type="list" sqref="F2">
      <x:formula1>"1–9,10–49,50–99,100–199,200+"</x:formula1>
    </x:dataValidation>
    <x:dataValidation type="list" sqref="H2">
      <x:formula1>"Exploring,Piloting,Operational use"</x:formula1>
    </x:dataValidation>
    <x:dataValidation type="list" sqref="D3">
      <x:formula1>"Lower,Moderate,Higher,To be assessed"</x:formula1>
    </x:dataValidation>
    <x:dataValidation type="list" sqref="H3">
      <x:formula1>"Yes,No"</x:formula1>
    </x:dataValidation>
    <x:dataValidation type="list" sqref="G8:G18">
      <x:formula1>"Yes,No,Unknown"</x:formula1>
    </x:dataValidation>
    <x:dataValidation type="list" sqref="H8:H18">
      <x:formula1>"Yes,No,Unknown"</x:formula1>
    </x:dataValidation>
    <x:dataValidation type="list" sqref="I8:I18">
      <x:formula1>"Yes,No,Unknown"</x:formula1>
    </x:dataValidation>
    <x:dataValidation type="list" sqref="J8:J18">
      <x:formula1>"Yes,No,Unknown"</x:formula1>
    </x:dataValidation>
    <x:dataValidation type="list" sqref="K8:K19">
      <x:formula1>"Statement only,Specific example described,Document described,Document observed,System evidence observed"</x:formula1>
    </x:dataValidation>
    <x:dataValidation type="list" sqref="L8:L19">
      <x:formula1>"Low,Medium,High"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4" hidden="0" customWidth="1"/>
    <x:col min="3" max="3" width="42" hidden="0" customWidth="1"/>
    <x:col min="4" max="4" width="43" hidden="0" customWidth="1"/>
    <x:col min="5" max="5" width="44" hidden="0" customWidth="1"/>
    <x:col min="6" max="6" width="58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24" hidden="0" customWidth="1"/>
    <x:col min="12" max="12" width="14" hidden="0" customWidth="1"/>
    <x:col min="13" max="13" width="14" hidden="0" customWidth="1"/>
    <x:col min="14" max="14" width="31" hidden="0" customWidth="1"/>
    <x:col min="15" max="15" width="36" hidden="0" customWidth="1"/>
  </x:cols>
  <x:sheetData>
    <x:row r="1" ht="36" customHeight="1">
      <x:c r="A1" s="3" t="str">
        <x:v>SME-10 — AI governance and cybersecurity interview form</x:v>
      </x:c>
      <x:c r="B1" s="3" t="str">
        <x:v>SME-10 — AI governance and cybersecurity interview form</x:v>
      </x:c>
      <x:c r="C1" s="3" t="str">
        <x:v>SME-10 — AI governance and cybersecurity interview form</x:v>
      </x:c>
      <x:c r="D1" s="3" t="str">
        <x:v>SME-10 — AI governance and cybersecurity interview form</x:v>
      </x:c>
      <x:c r="E1" s="3" t="str">
        <x:v>SME-10 — AI governance and cybersecurity interview form</x:v>
      </x:c>
      <x:c r="F1" s="3" t="str">
        <x:v>SME-10 — AI governance and cybersecurity interview form</x:v>
      </x:c>
      <x:c r="G1" s="3" t="str">
        <x:v>SME-10 — AI governance and cybersecurity interview form</x:v>
      </x:c>
      <x:c r="H1" s="3" t="str">
        <x:v>SME-10 — AI governance and cybersecurity interview form</x:v>
      </x:c>
      <x:c r="I1" s="3" t="str">
        <x:v>SME-10 — AI governance and cybersecurity interview form</x:v>
      </x:c>
      <x:c r="J1" s="3" t="str">
        <x:v>SME-10 — AI governance and cybersecurity interview form</x:v>
      </x:c>
      <x:c r="K1" s="3" t="str">
        <x:v>SME-10 — AI governance and cybersecurity interview form</x:v>
      </x:c>
      <x:c r="L1" s="3" t="str">
        <x:v>SME-10 — AI governance and cybersecurity interview form</x:v>
      </x:c>
      <x:c r="M1" s="3" t="str">
        <x:v>SME-10 — AI governance and cybersecurity interview form</x:v>
      </x:c>
      <x:c r="N1" s="3" t="str">
        <x:v>SME-10 — AI governance and cybersecurity interview form</x:v>
      </x:c>
      <x:c r="O1" s="3" t="str">
        <x:v>SME-10 — AI governance and cybersecurity interview form</x:v>
      </x:c>
    </x:row>
    <x:row r="2">
      <x:c r="A2" s="51" t="str">
        <x:v>Recruitment channel</x:v>
      </x:c>
      <x:c r="B2" s="27" t="str"/>
      <x:c r="C2" s="51" t="str">
        <x:v>Sector</x:v>
      </x:c>
      <x:c r="D2" s="27" t="str"/>
      <x:c r="E2" s="51" t="str">
        <x:v>Employee range</x:v>
      </x:c>
      <x:c r="F2" s="27" t="str"/>
      <x:c r="G2" s="51" t="str">
        <x:v>AI adoption stage</x:v>
      </x:c>
      <x:c r="H2" s="27" t="str"/>
      <x:c r="I2" s="51" t="str">
        <x:v>Interview date</x:v>
      </x:c>
      <x:c r="J2" s="53" t="str"/>
    </x:row>
    <x:row r="3">
      <x:c r="A3" s="52" t="str">
        <x:v>Primary GenAI use case</x:v>
      </x:c>
      <x:c r="B3" s="30" t="str"/>
      <x:c r="C3" s="52" t="str">
        <x:v>Risk exposure</x:v>
      </x:c>
      <x:c r="D3" s="30" t="str"/>
      <x:c r="E3" s="52" t="str">
        <x:v>Respondent role</x:v>
      </x:c>
      <x:c r="F3" s="30" t="str"/>
      <x:c r="G3" s="52" t="str">
        <x:v>Consent confirmed?</x:v>
      </x:c>
      <x:c r="H3" s="30" t="str"/>
      <x:c r="I3" s="52" t="str">
        <x:v>Interviewer</x:v>
      </x:c>
      <x:c r="J3" s="30" t="str">
        <x:v>Maria Singh</x:v>
      </x:c>
    </x:row>
    <x:row r="5" ht="38" customHeight="1">
      <x:c r="A5" s="43" t="str">
        <x:v>During the interview: ask the question naturally and record the answer. After the answer: code the four evidence checks using the Question Guide. Yellow = your input; green/gray = automatic or fixed.</x:v>
      </x:c>
      <x:c r="B5" s="43" t="str">
        <x:v>During the interview: ask the question naturally and record the answer. After the answer: code the four evidence checks using the Question Guide. Yellow = your input; green/gray = automatic or fixed.</x:v>
      </x:c>
      <x:c r="C5" s="43" t="str">
        <x:v>During the interview: ask the question naturally and record the answer. After the answer: code the four evidence checks using the Question Guide. Yellow = your input; green/gray = automatic or fixed.</x:v>
      </x:c>
      <x:c r="D5" s="43" t="str">
        <x:v>During the interview: ask the question naturally and record the answer. After the answer: code the four evidence checks using the Question Guide. Yellow = your input; green/gray = automatic or fixed.</x:v>
      </x:c>
      <x:c r="E5" s="43" t="str">
        <x:v>During the interview: ask the question naturally and record the answer. After the answer: code the four evidence checks using the Question Guide. Yellow = your input; green/gray = automatic or fixed.</x:v>
      </x:c>
      <x:c r="F5" s="43" t="str">
        <x:v>During the interview: ask the question naturally and record the answer. After the answer: code the four evidence checks using the Question Guide. Yellow = your input; green/gray = automatic or fixed.</x:v>
      </x:c>
      <x:c r="G5" s="43" t="str">
        <x:v>During the interview: ask the question naturally and record the answer. After the answer: code the four evidence checks using the Question Guide. Yellow = your input; green/gray = automatic or fixed.</x:v>
      </x:c>
      <x:c r="H5" s="43" t="str">
        <x:v>During the interview: ask the question naturally and record the answer. After the answer: code the four evidence checks using the Question Guide. Yellow = your input; green/gray = automatic or fixed.</x:v>
      </x:c>
      <x:c r="I5" s="43" t="str">
        <x:v>During the interview: ask the question naturally and record the answer. After the answer: code the four evidence checks using the Question Guide. Yellow = your input; green/gray = automatic or fixed.</x:v>
      </x:c>
      <x:c r="J5" s="43" t="str">
        <x:v>During the interview: ask the question naturally and record the answer. After the answer: code the four evidence checks using the Question Guide. Yellow = your input; green/gray = automatic or fixed.</x:v>
      </x:c>
      <x:c r="K5" s="43" t="str">
        <x:v>During the interview: ask the question naturally and record the answer. After the answer: code the four evidence checks using the Question Guide. Yellow = your input; green/gray = automatic or fixed.</x:v>
      </x:c>
      <x:c r="L5" s="43" t="str">
        <x:v>During the interview: ask the question naturally and record the answer. After the answer: code the four evidence checks using the Question Guide. Yellow = your input; green/gray = automatic or fixed.</x:v>
      </x:c>
      <x:c r="M5" s="43" t="str">
        <x:v>During the interview: ask the question naturally and record the answer. After the answer: code the four evidence checks using the Question Guide. Yellow = your input; green/gray = automatic or fixed.</x:v>
      </x:c>
      <x:c r="N5" s="43" t="str">
        <x:v>During the interview: ask the question naturally and record the answer. After the answer: code the four evidence checks using the Question Guide. Yellow = your input; green/gray = automatic or fixed.</x:v>
      </x:c>
      <x:c r="O5" s="43" t="str">
        <x:v>During the interview: ask the question naturally and record the answer. After the answer: code the four evidence checks using the Question Guide. Yellow = your input; green/gray = automatic or fixed.</x:v>
      </x:c>
    </x:row>
    <x:row r="7" ht="48" customHeight="1">
      <x:c r="A7" s="12" t="str">
        <x:v>Q ID</x:v>
      </x:c>
      <x:c r="B7" s="13" t="str">
        <x:v>Domain</x:v>
      </x:c>
      <x:c r="C7" s="13" t="str">
        <x:v>Question to ask</x:v>
      </x:c>
      <x:c r="D7" s="13" t="str">
        <x:v>Suggested probes</x:v>
      </x:c>
      <x:c r="E7" s="13" t="str">
        <x:v>Control being measured</x:v>
      </x:c>
      <x:c r="F7" s="13" t="str">
        <x:v>Response/evidence notes</x:v>
      </x:c>
      <x:c r="G7" s="13" t="str">
        <x:v>Practice exists?</x:v>
      </x:c>
      <x:c r="H7" s="13" t="str">
        <x:v>Documented?</x:v>
      </x:c>
      <x:c r="I7" s="13" t="str">
        <x:v>Implemented?</x:v>
      </x:c>
      <x:c r="J7" s="13" t="str">
        <x:v>Reviewed?</x:v>
      </x:c>
      <x:c r="K7" s="13" t="str">
        <x:v>Evidence basis</x:v>
      </x:c>
      <x:c r="L7" s="13" t="str">
        <x:v>Confidence</x:v>
      </x:c>
      <x:c r="M7" s="13" t="str">
        <x:v>Auto score</x:v>
      </x:c>
      <x:c r="N7" s="13" t="str">
        <x:v>Score meaning</x:v>
      </x:c>
      <x:c r="O7" s="14" t="str">
        <x:v>Barrier/support notes</x:v>
      </x:c>
    </x:row>
    <x:row r="8" ht="92" customHeight="1">
      <x:c r="A8" s="46" t="str">
        <x:v>Q01</x:v>
      </x:c>
      <x:c r="B8" s="46" t="str">
        <x:f>VLOOKUP(A8,'Question Guide'!$A$5:$L$16,2,FALSE)</x:f>
        <x:v>AI use context</x:v>
      </x:c>
      <x:c r="C8" s="46" t="str">
        <x:f>VLOOKUP(A8,'Question Guide'!$A$5:$L$16,3,FALSE)</x:f>
        <x:v>What generative AI tools or use cases is your company exploring or using?</x:v>
      </x:c>
      <x:c r="D8" s="46" t="str">
        <x:f>VLOOKUP(A8,'Question Guide'!$A$5:$L$16,4,FALSE)</x:f>
        <x:v>Who uses them? For what process? What information is involved? When was the list last checked?</x:v>
      </x:c>
      <x:c r="E8" s="46" t="str">
        <x:f>VLOOKUP(A8,'Question Guide'!$A$5:$L$16,5,FALSE)</x:f>
        <x:v>AI use cases are identified, recorded, assigned an owner, and kept current.</x:v>
      </x:c>
      <x:c r="F8" s="27"/>
      <x:c r="G8" s="27"/>
      <x:c r="H8" s="27"/>
      <x:c r="I8" s="27"/>
      <x:c r="J8" s="27"/>
      <x:c r="K8" s="27"/>
      <x:c r="L8" s="27"/>
      <x:c r="M8" s="46" t="str">
        <x:f>IF(G8="","",IF(G8="No",0,IF(G8="Unknown","Needs review",IF(COUNTA(H8:J8)&lt;3,"Incomplete",IF(OR(H8="Unknown",I8="Unknown",J8="Unknown"),"Needs review",IF(AND(H8="Yes",I8="Yes",J8="Yes"),3,IF(AND(H8="Yes",I8="Yes"),2,1)))))))</x:f>
      </x:c>
      <x:c r="N8" s="46" t="str">
        <x:f>IF(ISNUMBER(M8),CHOOSE(M8+1,"Absent/not considered","Informal or ad hoc","Documented and implemented","Managed and reviewed"),M8)</x:f>
      </x:c>
      <x:c r="O8" s="27"/>
    </x:row>
    <x:row r="9" ht="92" customHeight="1">
      <x:c r="A9" s="47" t="str">
        <x:v>Q02</x:v>
      </x:c>
      <x:c r="B9" s="47" t="str">
        <x:f>VLOOKUP(A9,'Question Guide'!$A$5:$L$16,2,FALSE)</x:f>
        <x:v>Accountability and governance</x:v>
      </x:c>
      <x:c r="C9" s="47" t="str">
        <x:f>VLOOKUP(A9,'Question Guide'!$A$5:$L$16,3,FALSE)</x:f>
        <x:v>Who is responsible for approving and overseeing AI use?</x:v>
      </x:c>
      <x:c r="D9" s="47" t="str">
        <x:f>VLOOKUP(A9,'Question Guide'!$A$5:$L$16,4,FALSE)</x:f>
        <x:v>Who can approve, stop, or change a use case? When was this authority last used?</x:v>
      </x:c>
      <x:c r="E9" s="47" t="str">
        <x:f>VLOOKUP(A9,'Question Guide'!$A$5:$L$16,5,FALSE)</x:f>
        <x:v>AI decision rights, ownership, approval, and escalation responsibilities are assigned.</x:v>
      </x:c>
      <x:c r="F9" s="30"/>
      <x:c r="G9" s="30"/>
      <x:c r="H9" s="30"/>
      <x:c r="I9" s="30"/>
      <x:c r="J9" s="30"/>
      <x:c r="K9" s="30"/>
      <x:c r="L9" s="30"/>
      <x:c r="M9" s="47" t="str">
        <x:f>IF(G9="","",IF(G9="No",0,IF(G9="Unknown","Needs review",IF(COUNTA(H9:J9)&lt;3,"Incomplete",IF(OR(H9="Unknown",I9="Unknown",J9="Unknown"),"Needs review",IF(AND(H9="Yes",I9="Yes",J9="Yes"),3,IF(AND(H9="Yes",I9="Yes"),2,1)))))))</x:f>
      </x:c>
      <x:c r="N9" s="47" t="str">
        <x:f>IF(ISNUMBER(M9),CHOOSE(M9+1,"Absent/not considered","Informal or ad hoc","Documented and implemented","Managed and reviewed"),M9)</x:f>
      </x:c>
      <x:c r="O9" s="30"/>
    </x:row>
    <x:row r="10" ht="92" customHeight="1">
      <x:c r="A10" s="47" t="str">
        <x:v>Q03</x:v>
      </x:c>
      <x:c r="B10" s="47" t="str">
        <x:f>VLOOKUP(A10,'Question Guide'!$A$5:$L$16,2,FALSE)</x:f>
        <x:v>Accountability and governance</x:v>
      </x:c>
      <x:c r="C10" s="47" t="str">
        <x:f>VLOOKUP(A10,'Question Guide'!$A$5:$L$16,3,FALSE)</x:f>
        <x:v>Before an AI use case is approved, what risks does the company consider?</x:v>
      </x:c>
      <x:c r="D10" s="47" t="str">
        <x:f>VLOOKUP(A10,'Question Guide'!$A$5:$L$16,4,FALSE)</x:f>
        <x:v>Describe the most recent review. Were sensitive data, customer impact, autonomy, accuracy, and consequences considered?</x:v>
      </x:c>
      <x:c r="E10" s="47" t="str">
        <x:f>VLOOKUP(A10,'Question Guide'!$A$5:$L$16,5,FALSE)</x:f>
        <x:v>AI use cases undergo a risk review before approval and when material changes occur.</x:v>
      </x:c>
      <x:c r="F10" s="30"/>
      <x:c r="G10" s="30"/>
      <x:c r="H10" s="30"/>
      <x:c r="I10" s="30"/>
      <x:c r="J10" s="30"/>
      <x:c r="K10" s="30"/>
      <x:c r="L10" s="30"/>
      <x:c r="M10" s="47" t="str">
        <x:f>IF(G10="","",IF(G10="No",0,IF(G10="Unknown","Needs review",IF(COUNTA(H10:J10)&lt;3,"Incomplete",IF(OR(H10="Unknown",I10="Unknown",J10="Unknown"),"Needs review",IF(AND(H10="Yes",I10="Yes",J10="Yes"),3,IF(AND(H10="Yes",I10="Yes"),2,1)))))))</x:f>
      </x:c>
      <x:c r="N10" s="47" t="str">
        <x:f>IF(ISNUMBER(M10),CHOOSE(M10+1,"Absent/not considered","Informal or ad hoc","Documented and implemented","Managed and reviewed"),M10)</x:f>
      </x:c>
      <x:c r="O10" s="30"/>
    </x:row>
    <x:row r="11" ht="92" customHeight="1">
      <x:c r="A11" s="47" t="str">
        <x:v>Q04</x:v>
      </x:c>
      <x:c r="B11" s="47" t="str">
        <x:f>VLOOKUP(A11,'Question Guide'!$A$5:$L$16,2,FALSE)</x:f>
        <x:v>Data protection</x:v>
      </x:c>
      <x:c r="C11" s="47" t="str">
        <x:f>VLOOKUP(A11,'Question Guide'!$A$5:$L$16,3,FALSE)</x:f>
        <x:v>What information may or may not be entered into generative AI tools?</x:v>
      </x:c>
      <x:c r="D11" s="47" t="str">
        <x:f>VLOOKUP(A11,'Question Guide'!$A$5:$L$16,4,FALSE)</x:f>
        <x:v>How do employees know? Are customer, employee, financial, confidential, or regulated data addressed?</x:v>
      </x:c>
      <x:c r="E11" s="47" t="str">
        <x:f>VLOOKUP(A11,'Question Guide'!$A$5:$L$16,5,FALSE)</x:f>
        <x:v>Rules govern the data employees may enter into AI tools and how AI-generated information may be handled.</x:v>
      </x:c>
      <x:c r="F11" s="30"/>
      <x:c r="G11" s="30"/>
      <x:c r="H11" s="30"/>
      <x:c r="I11" s="30"/>
      <x:c r="J11" s="30"/>
      <x:c r="K11" s="30"/>
      <x:c r="L11" s="30"/>
      <x:c r="M11" s="47" t="str">
        <x:f>IF(G11="","",IF(G11="No",0,IF(G11="Unknown","Needs review",IF(COUNTA(H11:J11)&lt;3,"Incomplete",IF(OR(H11="Unknown",I11="Unknown",J11="Unknown"),"Needs review",IF(AND(H11="Yes",I11="Yes",J11="Yes"),3,IF(AND(H11="Yes",I11="Yes"),2,1)))))))</x:f>
      </x:c>
      <x:c r="N11" s="47" t="str">
        <x:f>IF(ISNUMBER(M11),CHOOSE(M11+1,"Absent/not considered","Informal or ad hoc","Documented and implemented","Managed and reviewed"),M11)</x:f>
      </x:c>
      <x:c r="O11" s="30"/>
    </x:row>
    <x:row r="12" ht="92" customHeight="1">
      <x:c r="A12" s="47" t="str">
        <x:v>Q05</x:v>
      </x:c>
      <x:c r="B12" s="47" t="str">
        <x:f>VLOOKUP(A12,'Question Guide'!$A$5:$L$16,2,FALSE)</x:f>
        <x:v>Third-party management</x:v>
      </x:c>
      <x:c r="C12" s="47" t="str">
        <x:f>VLOOKUP(A12,'Question Guide'!$A$5:$L$16,3,FALSE)</x:f>
        <x:v>How do you decide whether an AI vendor or tool is trustworthy enough to use?</x:v>
      </x:c>
      <x:c r="D12" s="47" t="str">
        <x:f>VLOOKUP(A12,'Question Guide'!$A$5:$L$16,4,FALSE)</x:f>
        <x:v>Do you examine retention, model training, security, subcontractors, location, incident terms, and contracts?</x:v>
      </x:c>
      <x:c r="E12" s="47" t="str">
        <x:f>VLOOKUP(A12,'Question Guide'!$A$5:$L$16,5,FALSE)</x:f>
        <x:v>AI vendors receive risk-based security, privacy, data-use, and contractual review before and during use.</x:v>
      </x:c>
      <x:c r="F12" s="30"/>
      <x:c r="G12" s="30"/>
      <x:c r="H12" s="30"/>
      <x:c r="I12" s="30"/>
      <x:c r="J12" s="30"/>
      <x:c r="K12" s="30"/>
      <x:c r="L12" s="30"/>
      <x:c r="M12" s="47" t="str">
        <x:f>IF(G12="","",IF(G12="No",0,IF(G12="Unknown","Needs review",IF(COUNTA(H12:J12)&lt;3,"Incomplete",IF(OR(H12="Unknown",I12="Unknown",J12="Unknown"),"Needs review",IF(AND(H12="Yes",I12="Yes",J12="Yes"),3,IF(AND(H12="Yes",I12="Yes"),2,1)))))))</x:f>
      </x:c>
      <x:c r="N12" s="47" t="str">
        <x:f>IF(ISNUMBER(M12),CHOOSE(M12+1,"Absent/not considered","Informal or ad hoc","Documented and implemented","Managed and reviewed"),M12)</x:f>
      </x:c>
      <x:c r="O12" s="30"/>
    </x:row>
    <x:row r="13" ht="92" customHeight="1">
      <x:c r="A13" s="47" t="str">
        <x:v>Q06</x:v>
      </x:c>
      <x:c r="B13" s="47" t="str">
        <x:f>VLOOKUP(A13,'Question Guide'!$A$5:$L$16,2,FALSE)</x:f>
        <x:v>Access and integration security</x:v>
      </x:c>
      <x:c r="C13" s="47" t="str">
        <x:f>VLOOKUP(A13,'Question Guide'!$A$5:$L$16,3,FALSE)</x:f>
        <x:v>How is access to AI tools and connected company systems managed?</x:v>
      </x:c>
      <x:c r="D13" s="47" t="str">
        <x:f>VLOOKUP(A13,'Question Guide'!$A$5:$L$16,4,FALSE)</x:f>
        <x:v>Are accounts shared? Is MFA used? What data can the tool retrieve? What actions can it take? What happens when someone leaves?</x:v>
      </x:c>
      <x:c r="E13" s="47" t="str">
        <x:f>VLOOKUP(A13,'Question Guide'!$A$5:$L$16,5,FALSE)</x:f>
        <x:v>AI access and integrations use individual identity, least privilege, controlled permissions, and timely removal.</x:v>
      </x:c>
      <x:c r="F13" s="30"/>
      <x:c r="G13" s="30"/>
      <x:c r="H13" s="30"/>
      <x:c r="I13" s="30"/>
      <x:c r="J13" s="30"/>
      <x:c r="K13" s="30"/>
      <x:c r="L13" s="30"/>
      <x:c r="M13" s="47" t="str">
        <x:f>IF(G13="","",IF(G13="No",0,IF(G13="Unknown","Needs review",IF(COUNTA(H13:J13)&lt;3,"Incomplete",IF(OR(H13="Unknown",I13="Unknown",J13="Unknown"),"Needs review",IF(AND(H13="Yes",I13="Yes",J13="Yes"),3,IF(AND(H13="Yes",I13="Yes"),2,1)))))))</x:f>
      </x:c>
      <x:c r="N13" s="47" t="str">
        <x:f>IF(ISNUMBER(M13),CHOOSE(M13+1,"Absent/not considered","Informal or ad hoc","Documented and implemented","Managed and reviewed"),M13)</x:f>
      </x:c>
      <x:c r="O13" s="30"/>
    </x:row>
    <x:row r="14" ht="92" customHeight="1">
      <x:c r="A14" s="47" t="str">
        <x:v>Q07</x:v>
      </x:c>
      <x:c r="B14" s="47" t="str">
        <x:f>VLOOKUP(A14,'Question Guide'!$A$5:$L$16,2,FALSE)</x:f>
        <x:v>Human oversight</x:v>
      </x:c>
      <x:c r="C14" s="47" t="str">
        <x:f>VLOOKUP(A14,'Question Guide'!$A$5:$L$16,3,FALSE)</x:f>
        <x:v>Which AI-generated outputs or actions require human review?</x:v>
      </x:c>
      <x:c r="D14" s="47" t="str">
        <x:f>VLOOKUP(A14,'Question Guide'!$A$5:$L$16,4,FALSE)</x:f>
        <x:v>Who reviews them? What are they checking? What happens when confidence is low or a customer may be affected?</x:v>
      </x:c>
      <x:c r="E14" s="47" t="str">
        <x:f>VLOOKUP(A14,'Question Guide'!$A$5:$L$16,5,FALSE)</x:f>
        <x:v>Risk-based human review, decision authority, override, and escalation are defined for consequential AI outputs or actions.</x:v>
      </x:c>
      <x:c r="F14" s="30"/>
      <x:c r="G14" s="30"/>
      <x:c r="H14" s="30"/>
      <x:c r="I14" s="30"/>
      <x:c r="J14" s="30"/>
      <x:c r="K14" s="30"/>
      <x:c r="L14" s="30"/>
      <x:c r="M14" s="47" t="str">
        <x:f>IF(G14="","",IF(G14="No",0,IF(G14="Unknown","Needs review",IF(COUNTA(H14:J14)&lt;3,"Incomplete",IF(OR(H14="Unknown",I14="Unknown",J14="Unknown"),"Needs review",IF(AND(H14="Yes",I14="Yes",J14="Yes"),3,IF(AND(H14="Yes",I14="Yes"),2,1)))))))</x:f>
      </x:c>
      <x:c r="N14" s="47" t="str">
        <x:f>IF(ISNUMBER(M14),CHOOSE(M14+1,"Absent/not considered","Informal or ad hoc","Documented and implemented","Managed and reviewed"),M14)</x:f>
      </x:c>
      <x:c r="O14" s="30"/>
    </x:row>
    <x:row r="15" ht="92" customHeight="1">
      <x:c r="A15" s="47" t="str">
        <x:v>Q08</x:v>
      </x:c>
      <x:c r="B15" s="47" t="str">
        <x:f>VLOOKUP(A15,'Question Guide'!$A$5:$L$16,2,FALSE)</x:f>
        <x:v>Testing and assurance</x:v>
      </x:c>
      <x:c r="C15" s="47" t="str">
        <x:f>VLOOKUP(A15,'Question Guide'!$A$5:$L$16,3,FALSE)</x:f>
        <x:v>How do you determine whether an AI system or output is accurate and reliable enough for its intended use?</x:v>
      </x:c>
      <x:c r="D15" s="47" t="str">
        <x:f>VLOOKUP(A15,'Question Guide'!$A$5:$L$16,4,FALSE)</x:f>
        <x:v>What was tested before use? Which failures matter? What acceptance level is required? Is testing repeated after change?</x:v>
      </x:c>
      <x:c r="E15" s="47" t="str">
        <x:f>VLOOKUP(A15,'Question Guide'!$A$5:$L$16,5,FALSE)</x:f>
        <x:v>AI use cases are tested against documented fitness, safety, security, and reliability criteria before use and after material change.</x:v>
      </x:c>
      <x:c r="F15" s="30"/>
      <x:c r="G15" s="30"/>
      <x:c r="H15" s="30"/>
      <x:c r="I15" s="30"/>
      <x:c r="J15" s="30"/>
      <x:c r="K15" s="30"/>
      <x:c r="L15" s="30"/>
      <x:c r="M15" s="47" t="str">
        <x:f>IF(G15="","",IF(G15="No",0,IF(G15="Unknown","Needs review",IF(COUNTA(H15:J15)&lt;3,"Incomplete",IF(OR(H15="Unknown",I15="Unknown",J15="Unknown"),"Needs review",IF(AND(H15="Yes",I15="Yes",J15="Yes"),3,IF(AND(H15="Yes",I15="Yes"),2,1)))))))</x:f>
      </x:c>
      <x:c r="N15" s="47" t="str">
        <x:f>IF(ISNUMBER(M15),CHOOSE(M15+1,"Absent/not considered","Informal or ad hoc","Documented and implemented","Managed and reviewed"),M15)</x:f>
      </x:c>
      <x:c r="O15" s="30"/>
    </x:row>
    <x:row r="16" ht="92" customHeight="1">
      <x:c r="A16" s="47" t="str">
        <x:v>Q09</x:v>
      </x:c>
      <x:c r="B16" s="47" t="str">
        <x:f>VLOOKUP(A16,'Question Guide'!$A$5:$L$16,2,FALSE)</x:f>
        <x:v>Monitoring and change</x:v>
      </x:c>
      <x:c r="C16" s="47" t="str">
        <x:f>VLOOKUP(A16,'Question Guide'!$A$5:$L$16,3,FALSE)</x:f>
        <x:v>After an AI use case goes live, how do you know it continues to operate safely and as intended?</x:v>
      </x:c>
      <x:c r="D16" s="47" t="str">
        <x:f>VLOOKUP(A16,'Question Guide'!$A$5:$L$16,4,FALSE)</x:f>
        <x:v>What is logged? Who reviews errors, complaints, vendor changes, unusual behavior, or declining quality?</x:v>
      </x:c>
      <x:c r="E16" s="47" t="str">
        <x:f>VLOOKUP(A16,'Question Guide'!$A$5:$L$16,5,FALSE)</x:f>
        <x:v>Operational AI use is monitored using assigned metrics, logs, issues, thresholds, and change triggers.</x:v>
      </x:c>
      <x:c r="F16" s="30"/>
      <x:c r="G16" s="30"/>
      <x:c r="H16" s="30"/>
      <x:c r="I16" s="30"/>
      <x:c r="J16" s="30"/>
      <x:c r="K16" s="30"/>
      <x:c r="L16" s="30"/>
      <x:c r="M16" s="47" t="str">
        <x:f>IF(G16="","",IF(G16="No",0,IF(G16="Unknown","Needs review",IF(COUNTA(H16:J16)&lt;3,"Incomplete",IF(OR(H16="Unknown",I16="Unknown",J16="Unknown"),"Needs review",IF(AND(H16="Yes",I16="Yes",J16="Yes"),3,IF(AND(H16="Yes",I16="Yes"),2,1)))))))</x:f>
      </x:c>
      <x:c r="N16" s="47" t="str">
        <x:f>IF(ISNUMBER(M16),CHOOSE(M16+1,"Absent/not considered","Informal or ad hoc","Documented and implemented","Managed and reviewed"),M16)</x:f>
      </x:c>
      <x:c r="O16" s="30"/>
    </x:row>
    <x:row r="17" ht="92" customHeight="1">
      <x:c r="A17" s="47" t="str">
        <x:v>Q10</x:v>
      </x:c>
      <x:c r="B17" s="47" t="str">
        <x:f>VLOOKUP(A17,'Question Guide'!$A$5:$L$16,2,FALSE)</x:f>
        <x:v>Incident response</x:v>
      </x:c>
      <x:c r="C17" s="47" t="str">
        <x:f>VLOOKUP(A17,'Question Guide'!$A$5:$L$16,3,FALSE)</x:f>
        <x:v>What would happen if an AI tool exposed sensitive information, produced harmful content, or took an unintended action?</x:v>
      </x:c>
      <x:c r="D17" s="47" t="str">
        <x:f>VLOOKUP(A17,'Question Guide'!$A$5:$L$16,4,FALSE)</x:f>
        <x:v>Who is notified? Can use be suspended? Is the vendor contacted? Has an AI scenario been exercised?</x:v>
      </x:c>
      <x:c r="E17" s="47" t="str">
        <x:f>VLOOKUP(A17,'Question Guide'!$A$5:$L$16,5,FALSE)</x:f>
        <x:v>AI-related events can be identified, contained, escalated, reported, investigated, and used to improve controls.</x:v>
      </x:c>
      <x:c r="F17" s="30"/>
      <x:c r="G17" s="30"/>
      <x:c r="H17" s="30"/>
      <x:c r="I17" s="30"/>
      <x:c r="J17" s="30"/>
      <x:c r="K17" s="30"/>
      <x:c r="L17" s="30"/>
      <x:c r="M17" s="47" t="str">
        <x:f>IF(G17="","",IF(G17="No",0,IF(G17="Unknown","Needs review",IF(COUNTA(H17:J17)&lt;3,"Incomplete",IF(OR(H17="Unknown",I17="Unknown",J17="Unknown"),"Needs review",IF(AND(H17="Yes",I17="Yes",J17="Yes"),3,IF(AND(H17="Yes",I17="Yes"),2,1)))))))</x:f>
      </x:c>
      <x:c r="N17" s="47" t="str">
        <x:f>IF(ISNUMBER(M17),CHOOSE(M17+1,"Absent/not considered","Informal or ad hoc","Documented and implemented","Managed and reviewed"),M17)</x:f>
      </x:c>
      <x:c r="O17" s="30"/>
    </x:row>
    <x:row r="18" ht="92" customHeight="1">
      <x:c r="A18" s="47" t="str">
        <x:v>Q11</x:v>
      </x:c>
      <x:c r="B18" s="47" t="str">
        <x:f>VLOOKUP(A18,'Question Guide'!$A$5:$L$16,2,FALSE)</x:f>
        <x:v>People and policy</x:v>
      </x:c>
      <x:c r="C18" s="47" t="str">
        <x:f>VLOOKUP(A18,'Question Guide'!$A$5:$L$16,3,FALSE)</x:f>
        <x:v>What guidance or training have employees received about responsible and secure AI use?</x:v>
      </x:c>
      <x:c r="D18" s="47" t="str">
        <x:f>VLOOKUP(A18,'Question Guide'!$A$5:$L$16,4,FALSE)</x:f>
        <x:v>Is it required? Does it cover approved tools, data, verification, disclosure, and reporting? How is it updated?</x:v>
      </x:c>
      <x:c r="E18" s="47" t="str">
        <x:f>VLOOKUP(A18,'Question Guide'!$A$5:$L$16,5,FALSE)</x:f>
        <x:v>Employees receive role-relevant AI policy, guidance, and awareness that are maintained as risks and use cases change.</x:v>
      </x:c>
      <x:c r="F18" s="30"/>
      <x:c r="G18" s="30"/>
      <x:c r="H18" s="30"/>
      <x:c r="I18" s="30"/>
      <x:c r="J18" s="30"/>
      <x:c r="K18" s="30"/>
      <x:c r="L18" s="30"/>
      <x:c r="M18" s="47" t="str">
        <x:f>IF(G18="","",IF(G18="No",0,IF(G18="Unknown","Needs review",IF(COUNTA(H18:J18)&lt;3,"Incomplete",IF(OR(H18="Unknown",I18="Unknown",J18="Unknown"),"Needs review",IF(AND(H18="Yes",I18="Yes",J18="Yes"),3,IF(AND(H18="Yes",I18="Yes"),2,1)))))))</x:f>
      </x:c>
      <x:c r="N18" s="47" t="str">
        <x:f>IF(ISNUMBER(M18),CHOOSE(M18+1,"Absent/not considered","Informal or ad hoc","Documented and implemented","Managed and reviewed"),M18)</x:f>
      </x:c>
      <x:c r="O18" s="30"/>
    </x:row>
    <x:row r="19" ht="92" customHeight="1">
      <x:c r="A19" s="47" t="str">
        <x:v>Q12</x:v>
      </x:c>
      <x:c r="B19" s="47" t="str">
        <x:f>VLOOKUP(A19,'Question Guide'!$A$5:$L$16,2,FALSE)</x:f>
        <x:v>Barriers and support</x:v>
      </x:c>
      <x:c r="C19" s="47" t="str">
        <x:f>VLOOKUP(A19,'Question Guide'!$A$5:$L$16,3,FALSE)</x:f>
        <x:v>What makes AI governance or cybersecurity difficult for your company, and what practical support would help?</x:v>
      </x:c>
      <x:c r="D19" s="47" t="str">
        <x:f>VLOOKUP(A19,'Question Guide'!$A$5:$L$16,4,FALSE)</x:f>
        <x:v>Probe for cost, time, skills, leadership priority, vendor information, unclear guidance, templates, training, assessments, or specialist advice.</x:v>
      </x:c>
      <x:c r="E19" s="47" t="str">
        <x:f>VLOOKUP(A19,'Question Guide'!$A$5:$L$16,5,FALSE)</x:f>
        <x:v>Qualitative context is collected to explain readiness results and identify practical support needs.</x:v>
      </x:c>
      <x:c r="F19" s="30"/>
      <x:c r="G19" s="64" t="str">
        <x:v>N/A</x:v>
      </x:c>
      <x:c r="H19" s="64" t="str">
        <x:v>N/A</x:v>
      </x:c>
      <x:c r="I19" s="64" t="str">
        <x:v>N/A</x:v>
      </x:c>
      <x:c r="J19" s="64" t="str">
        <x:v>N/A</x:v>
      </x:c>
      <x:c r="K19" s="30"/>
      <x:c r="L19" s="30"/>
      <x:c r="M19" s="65" t="str">
        <x:v>N/A</x:v>
      </x:c>
      <x:c r="N19" s="65" t="str">
        <x:v>Qualitative question — not scored</x:v>
      </x:c>
      <x:c r="O19" s="30"/>
    </x:row>
  </x:sheetData>
  <x:mergeCells>
    <x:mergeCell ref="A1:O1"/>
    <x:mergeCell ref="A5:O5"/>
  </x:mergeCells>
  <x:conditionalFormatting sqref="M8:M18">
    <x:cfRule type="cellIs" dxfId="36" priority="1" operator="equal">
      <x:formula>0</x:formula>
    </x:cfRule>
    <x:cfRule type="cellIs" dxfId="37" priority="2" operator="equal">
      <x:formula>1</x:formula>
    </x:cfRule>
    <x:cfRule type="cellIs" dxfId="38" priority="3" operator="equal">
      <x:formula>2</x:formula>
    </x:cfRule>
    <x:cfRule type="cellIs" dxfId="39" priority="4" operator="equal">
      <x:formula>3</x:formula>
    </x:cfRule>
  </x:conditionalFormatting>
  <x:dataValidations count="11">
    <x:dataValidation type="list" sqref="B2">
      <x:formula1>"SAIA,SCCCI,Both"</x:formula1>
    </x:dataValidation>
    <x:dataValidation type="list" sqref="F2">
      <x:formula1>"1–9,10–49,50–99,100–199,200+"</x:formula1>
    </x:dataValidation>
    <x:dataValidation type="list" sqref="H2">
      <x:formula1>"Exploring,Piloting,Operational use"</x:formula1>
    </x:dataValidation>
    <x:dataValidation type="list" sqref="D3">
      <x:formula1>"Lower,Moderate,Higher,To be assessed"</x:formula1>
    </x:dataValidation>
    <x:dataValidation type="list" sqref="H3">
      <x:formula1>"Yes,No"</x:formula1>
    </x:dataValidation>
    <x:dataValidation type="list" sqref="G8:G18">
      <x:formula1>"Yes,No,Unknown"</x:formula1>
    </x:dataValidation>
    <x:dataValidation type="list" sqref="H8:H18">
      <x:formula1>"Yes,No,Unknown"</x:formula1>
    </x:dataValidation>
    <x:dataValidation type="list" sqref="I8:I18">
      <x:formula1>"Yes,No,Unknown"</x:formula1>
    </x:dataValidation>
    <x:dataValidation type="list" sqref="J8:J18">
      <x:formula1>"Yes,No,Unknown"</x:formula1>
    </x:dataValidation>
    <x:dataValidation type="list" sqref="K8:K19">
      <x:formula1>"Statement only,Specific example described,Document described,Document observed,System evidence observed"</x:formula1>
    </x:dataValidation>
    <x:dataValidation type="list" sqref="L8:L19">
      <x:formula1>"Low,Medium,High"</x:formula1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30" hidden="0" customWidth="1"/>
    <x:col min="4" max="4" width="12" hidden="0" customWidth="1"/>
    <x:col min="5" max="5" width="16" hidden="0" customWidth="1"/>
    <x:col min="6" max="6" width="25" hidden="0" customWidth="1"/>
    <x:col min="7" max="7" width="14" hidden="0" customWidth="1"/>
    <x:col min="8" max="8" width="58" hidden="0" customWidth="1"/>
    <x:col min="9" max="9" width="40" hidden="0" customWidth="1"/>
    <x:col min="10" max="10" width="20" hidden="0" customWidth="1"/>
  </x:cols>
  <x:sheetData>
    <x:row r="1" ht="36" customHeight="1">
      <x:c r="A1" s="3" t="str">
        <x:v>Flat data log — automatically linked from SME interview forms</x:v>
      </x:c>
      <x:c r="B1" s="3" t="str">
        <x:v>Flat data log — automatically linked from SME interview forms</x:v>
      </x:c>
      <x:c r="C1" s="3" t="str">
        <x:v>Flat data log — automatically linked from SME interview forms</x:v>
      </x:c>
      <x:c r="D1" s="3" t="str">
        <x:v>Flat data log — automatically linked from SME interview forms</x:v>
      </x:c>
      <x:c r="E1" s="3" t="str">
        <x:v>Flat data log — automatically linked from SME interview forms</x:v>
      </x:c>
      <x:c r="F1" s="3" t="str">
        <x:v>Flat data log — automatically linked from SME interview forms</x:v>
      </x:c>
      <x:c r="G1" s="3" t="str">
        <x:v>Flat data log — automatically linked from SME interview forms</x:v>
      </x:c>
      <x:c r="H1" s="3" t="str">
        <x:v>Flat data log — automatically linked from SME interview forms</x:v>
      </x:c>
      <x:c r="I1" s="3" t="str">
        <x:v>Flat data log — automatically linked from SME interview forms</x:v>
      </x:c>
      <x:c r="J1" s="3" t="str">
        <x:v>Flat data log — automatically linked from SME interview forms</x:v>
      </x:c>
    </x:row>
    <x:row r="2">
      <x:c r="A2" s="43" t="str">
        <x:v>Do not edit this sheet. It creates one record per SME per question so results can be calculated and exported consistently.</x:v>
      </x:c>
      <x:c r="B2" s="43" t="str">
        <x:v>Do not edit this sheet. It creates one record per SME per question so results can be calculated and exported consistently.</x:v>
      </x:c>
      <x:c r="C2" s="43" t="str">
        <x:v>Do not edit this sheet. It creates one record per SME per question so results can be calculated and exported consistently.</x:v>
      </x:c>
      <x:c r="D2" s="43" t="str">
        <x:v>Do not edit this sheet. It creates one record per SME per question so results can be calculated and exported consistently.</x:v>
      </x:c>
      <x:c r="E2" s="43" t="str">
        <x:v>Do not edit this sheet. It creates one record per SME per question so results can be calculated and exported consistently.</x:v>
      </x:c>
      <x:c r="F2" s="43" t="str">
        <x:v>Do not edit this sheet. It creates one record per SME per question so results can be calculated and exported consistently.</x:v>
      </x:c>
      <x:c r="G2" s="43" t="str">
        <x:v>Do not edit this sheet. It creates one record per SME per question so results can be calculated and exported consistently.</x:v>
      </x:c>
      <x:c r="H2" s="43" t="str">
        <x:v>Do not edit this sheet. It creates one record per SME per question so results can be calculated and exported consistently.</x:v>
      </x:c>
      <x:c r="I2" s="43" t="str">
        <x:v>Do not edit this sheet. It creates one record per SME per question so results can be calculated and exported consistently.</x:v>
      </x:c>
      <x:c r="J2" s="43" t="str">
        <x:v>Do not edit this sheet. It creates one record per SME per question so results can be calculated and exported consistently.</x:v>
      </x:c>
    </x:row>
    <x:row r="4" ht="40" customHeight="1">
      <x:c r="A4" s="12" t="str">
        <x:v>SME ID</x:v>
      </x:c>
      <x:c r="B4" s="13" t="str">
        <x:v>Question ID</x:v>
      </x:c>
      <x:c r="C4" s="13" t="str">
        <x:v>Domain</x:v>
      </x:c>
      <x:c r="D4" s="13" t="str">
        <x:v>Score</x:v>
      </x:c>
      <x:c r="E4" s="13" t="str">
        <x:v>Score included?</x:v>
      </x:c>
      <x:c r="F4" s="13" t="str">
        <x:v>Evidence basis</x:v>
      </x:c>
      <x:c r="G4" s="13" t="str">
        <x:v>Confidence</x:v>
      </x:c>
      <x:c r="H4" s="13" t="str">
        <x:v>Response/evidence notes</x:v>
      </x:c>
      <x:c r="I4" s="13" t="str">
        <x:v>Barrier/support notes</x:v>
      </x:c>
      <x:c r="J4" s="14" t="str">
        <x:v>Adoption stage</x:v>
      </x:c>
    </x:row>
    <x:row r="5" ht="42" customHeight="1">
      <x:c r="A5" s="46" t="str">
        <x:v>SME-01</x:v>
      </x:c>
      <x:c r="B5" s="46" t="str">
        <x:f>'SME-01'!A8</x:f>
        <x:v>Q01</x:v>
      </x:c>
      <x:c r="C5" s="46" t="str">
        <x:f>'SME-01'!B8</x:f>
        <x:v>AI use context</x:v>
      </x:c>
      <x:c r="D5" s="46" t="str">
        <x:f>IF(ISNUMBER('SME-01'!M8),'SME-01'!M8,IF('SME-01'!M8="","",'SME-01'!M8))</x:f>
      </x:c>
      <x:c r="E5" s="46" t="n">
        <x:f>IF(ISNUMBER(D5),1,0)</x:f>
        <x:v>0</x:v>
      </x:c>
      <x:c r="F5" s="46" t="str">
        <x:f>IF('SME-01'!K8="","",'SME-01'!K8)</x:f>
      </x:c>
      <x:c r="G5" s="46" t="str">
        <x:f>IF('SME-01'!L8="","",'SME-01'!L8)</x:f>
      </x:c>
      <x:c r="H5" s="46" t="str">
        <x:f>IF('SME-01'!F8="","",'SME-01'!F8)</x:f>
      </x:c>
      <x:c r="I5" s="46" t="str">
        <x:f>IF('SME-01'!O8="","",'SME-01'!O8)</x:f>
      </x:c>
      <x:c r="J5" s="46" t="str">
        <x:f>IF('SME-01'!H2="","",'SME-01'!H2)</x:f>
      </x:c>
    </x:row>
    <x:row r="6" ht="42" customHeight="1">
      <x:c r="A6" s="47" t="str">
        <x:v>SME-01</x:v>
      </x:c>
      <x:c r="B6" s="47" t="str">
        <x:f>'SME-01'!A9</x:f>
        <x:v>Q02</x:v>
      </x:c>
      <x:c r="C6" s="47" t="str">
        <x:f>'SME-01'!B9</x:f>
        <x:v>Accountability and governance</x:v>
      </x:c>
      <x:c r="D6" s="47" t="str">
        <x:f>IF(ISNUMBER('SME-01'!M9),'SME-01'!M9,IF('SME-01'!M9="","",'SME-01'!M9))</x:f>
      </x:c>
      <x:c r="E6" s="47" t="n">
        <x:f>IF(ISNUMBER(D6),1,0)</x:f>
        <x:v>0</x:v>
      </x:c>
      <x:c r="F6" s="47" t="str">
        <x:f>IF('SME-01'!K9="","",'SME-01'!K9)</x:f>
      </x:c>
      <x:c r="G6" s="47" t="str">
        <x:f>IF('SME-01'!L9="","",'SME-01'!L9)</x:f>
      </x:c>
      <x:c r="H6" s="47" t="str">
        <x:f>IF('SME-01'!F9="","",'SME-01'!F9)</x:f>
      </x:c>
      <x:c r="I6" s="47" t="str">
        <x:f>IF('SME-01'!O9="","",'SME-01'!O9)</x:f>
      </x:c>
      <x:c r="J6" s="47" t="str">
        <x:f>IF('SME-01'!H2="","",'SME-01'!H2)</x:f>
      </x:c>
    </x:row>
    <x:row r="7" ht="42" customHeight="1">
      <x:c r="A7" s="47" t="str">
        <x:v>SME-01</x:v>
      </x:c>
      <x:c r="B7" s="47" t="str">
        <x:f>'SME-01'!A10</x:f>
        <x:v>Q03</x:v>
      </x:c>
      <x:c r="C7" s="47" t="str">
        <x:f>'SME-01'!B10</x:f>
        <x:v>Accountability and governance</x:v>
      </x:c>
      <x:c r="D7" s="47" t="str">
        <x:f>IF(ISNUMBER('SME-01'!M10),'SME-01'!M10,IF('SME-01'!M10="","",'SME-01'!M10))</x:f>
      </x:c>
      <x:c r="E7" s="47" t="n">
        <x:f>IF(ISNUMBER(D7),1,0)</x:f>
        <x:v>0</x:v>
      </x:c>
      <x:c r="F7" s="47" t="str">
        <x:f>IF('SME-01'!K10="","",'SME-01'!K10)</x:f>
      </x:c>
      <x:c r="G7" s="47" t="str">
        <x:f>IF('SME-01'!L10="","",'SME-01'!L10)</x:f>
      </x:c>
      <x:c r="H7" s="47" t="str">
        <x:f>IF('SME-01'!F10="","",'SME-01'!F10)</x:f>
      </x:c>
      <x:c r="I7" s="47" t="str">
        <x:f>IF('SME-01'!O10="","",'SME-01'!O10)</x:f>
      </x:c>
      <x:c r="J7" s="47" t="str">
        <x:f>IF('SME-01'!H2="","",'SME-01'!H2)</x:f>
      </x:c>
    </x:row>
    <x:row r="8" ht="42" customHeight="1">
      <x:c r="A8" s="47" t="str">
        <x:v>SME-01</x:v>
      </x:c>
      <x:c r="B8" s="47" t="str">
        <x:f>'SME-01'!A11</x:f>
        <x:v>Q04</x:v>
      </x:c>
      <x:c r="C8" s="47" t="str">
        <x:f>'SME-01'!B11</x:f>
        <x:v>Data protection</x:v>
      </x:c>
      <x:c r="D8" s="47" t="str">
        <x:f>IF(ISNUMBER('SME-01'!M11),'SME-01'!M11,IF('SME-01'!M11="","",'SME-01'!M11))</x:f>
      </x:c>
      <x:c r="E8" s="47" t="n">
        <x:f>IF(ISNUMBER(D8),1,0)</x:f>
        <x:v>0</x:v>
      </x:c>
      <x:c r="F8" s="47" t="str">
        <x:f>IF('SME-01'!K11="","",'SME-01'!K11)</x:f>
      </x:c>
      <x:c r="G8" s="47" t="str">
        <x:f>IF('SME-01'!L11="","",'SME-01'!L11)</x:f>
      </x:c>
      <x:c r="H8" s="47" t="str">
        <x:f>IF('SME-01'!F11="","",'SME-01'!F11)</x:f>
      </x:c>
      <x:c r="I8" s="47" t="str">
        <x:f>IF('SME-01'!O11="","",'SME-01'!O11)</x:f>
      </x:c>
      <x:c r="J8" s="47" t="str">
        <x:f>IF('SME-01'!H2="","",'SME-01'!H2)</x:f>
      </x:c>
    </x:row>
    <x:row r="9" ht="42" customHeight="1">
      <x:c r="A9" s="47" t="str">
        <x:v>SME-01</x:v>
      </x:c>
      <x:c r="B9" s="47" t="str">
        <x:f>'SME-01'!A12</x:f>
        <x:v>Q05</x:v>
      </x:c>
      <x:c r="C9" s="47" t="str">
        <x:f>'SME-01'!B12</x:f>
        <x:v>Third-party management</x:v>
      </x:c>
      <x:c r="D9" s="47" t="str">
        <x:f>IF(ISNUMBER('SME-01'!M12),'SME-01'!M12,IF('SME-01'!M12="","",'SME-01'!M12))</x:f>
      </x:c>
      <x:c r="E9" s="47" t="n">
        <x:f>IF(ISNUMBER(D9),1,0)</x:f>
        <x:v>0</x:v>
      </x:c>
      <x:c r="F9" s="47" t="str">
        <x:f>IF('SME-01'!K12="","",'SME-01'!K12)</x:f>
      </x:c>
      <x:c r="G9" s="47" t="str">
        <x:f>IF('SME-01'!L12="","",'SME-01'!L12)</x:f>
      </x:c>
      <x:c r="H9" s="47" t="str">
        <x:f>IF('SME-01'!F12="","",'SME-01'!F12)</x:f>
      </x:c>
      <x:c r="I9" s="47" t="str">
        <x:f>IF('SME-01'!O12="","",'SME-01'!O12)</x:f>
      </x:c>
      <x:c r="J9" s="47" t="str">
        <x:f>IF('SME-01'!H2="","",'SME-01'!H2)</x:f>
      </x:c>
    </x:row>
    <x:row r="10" ht="42" customHeight="1">
      <x:c r="A10" s="47" t="str">
        <x:v>SME-01</x:v>
      </x:c>
      <x:c r="B10" s="47" t="str">
        <x:f>'SME-01'!A13</x:f>
        <x:v>Q06</x:v>
      </x:c>
      <x:c r="C10" s="47" t="str">
        <x:f>'SME-01'!B13</x:f>
        <x:v>Access and integration security</x:v>
      </x:c>
      <x:c r="D10" s="47" t="str">
        <x:f>IF(ISNUMBER('SME-01'!M13),'SME-01'!M13,IF('SME-01'!M13="","",'SME-01'!M13))</x:f>
      </x:c>
      <x:c r="E10" s="47" t="n">
        <x:f>IF(ISNUMBER(D10),1,0)</x:f>
        <x:v>0</x:v>
      </x:c>
      <x:c r="F10" s="47" t="str">
        <x:f>IF('SME-01'!K13="","",'SME-01'!K13)</x:f>
      </x:c>
      <x:c r="G10" s="47" t="str">
        <x:f>IF('SME-01'!L13="","",'SME-01'!L13)</x:f>
      </x:c>
      <x:c r="H10" s="47" t="str">
        <x:f>IF('SME-01'!F13="","",'SME-01'!F13)</x:f>
      </x:c>
      <x:c r="I10" s="47" t="str">
        <x:f>IF('SME-01'!O13="","",'SME-01'!O13)</x:f>
      </x:c>
      <x:c r="J10" s="47" t="str">
        <x:f>IF('SME-01'!H2="","",'SME-01'!H2)</x:f>
      </x:c>
    </x:row>
    <x:row r="11" ht="42" customHeight="1">
      <x:c r="A11" s="47" t="str">
        <x:v>SME-01</x:v>
      </x:c>
      <x:c r="B11" s="47" t="str">
        <x:f>'SME-01'!A14</x:f>
        <x:v>Q07</x:v>
      </x:c>
      <x:c r="C11" s="47" t="str">
        <x:f>'SME-01'!B14</x:f>
        <x:v>Human oversight</x:v>
      </x:c>
      <x:c r="D11" s="47" t="str">
        <x:f>IF(ISNUMBER('SME-01'!M14),'SME-01'!M14,IF('SME-01'!M14="","",'SME-01'!M14))</x:f>
      </x:c>
      <x:c r="E11" s="47" t="n">
        <x:f>IF(ISNUMBER(D11),1,0)</x:f>
        <x:v>0</x:v>
      </x:c>
      <x:c r="F11" s="47" t="str">
        <x:f>IF('SME-01'!K14="","",'SME-01'!K14)</x:f>
      </x:c>
      <x:c r="G11" s="47" t="str">
        <x:f>IF('SME-01'!L14="","",'SME-01'!L14)</x:f>
      </x:c>
      <x:c r="H11" s="47" t="str">
        <x:f>IF('SME-01'!F14="","",'SME-01'!F14)</x:f>
      </x:c>
      <x:c r="I11" s="47" t="str">
        <x:f>IF('SME-01'!O14="","",'SME-01'!O14)</x:f>
      </x:c>
      <x:c r="J11" s="47" t="str">
        <x:f>IF('SME-01'!H2="","",'SME-01'!H2)</x:f>
      </x:c>
    </x:row>
    <x:row r="12" ht="42" customHeight="1">
      <x:c r="A12" s="47" t="str">
        <x:v>SME-01</x:v>
      </x:c>
      <x:c r="B12" s="47" t="str">
        <x:f>'SME-01'!A15</x:f>
        <x:v>Q08</x:v>
      </x:c>
      <x:c r="C12" s="47" t="str">
        <x:f>'SME-01'!B15</x:f>
        <x:v>Testing and assurance</x:v>
      </x:c>
      <x:c r="D12" s="47" t="str">
        <x:f>IF(ISNUMBER('SME-01'!M15),'SME-01'!M15,IF('SME-01'!M15="","",'SME-01'!M15))</x:f>
      </x:c>
      <x:c r="E12" s="47" t="n">
        <x:f>IF(ISNUMBER(D12),1,0)</x:f>
        <x:v>0</x:v>
      </x:c>
      <x:c r="F12" s="47" t="str">
        <x:f>IF('SME-01'!K15="","",'SME-01'!K15)</x:f>
      </x:c>
      <x:c r="G12" s="47" t="str">
        <x:f>IF('SME-01'!L15="","",'SME-01'!L15)</x:f>
      </x:c>
      <x:c r="H12" s="47" t="str">
        <x:f>IF('SME-01'!F15="","",'SME-01'!F15)</x:f>
      </x:c>
      <x:c r="I12" s="47" t="str">
        <x:f>IF('SME-01'!O15="","",'SME-01'!O15)</x:f>
      </x:c>
      <x:c r="J12" s="47" t="str">
        <x:f>IF('SME-01'!H2="","",'SME-01'!H2)</x:f>
      </x:c>
    </x:row>
    <x:row r="13" ht="42" customHeight="1">
      <x:c r="A13" s="47" t="str">
        <x:v>SME-01</x:v>
      </x:c>
      <x:c r="B13" s="47" t="str">
        <x:f>'SME-01'!A16</x:f>
        <x:v>Q09</x:v>
      </x:c>
      <x:c r="C13" s="47" t="str">
        <x:f>'SME-01'!B16</x:f>
        <x:v>Monitoring and change</x:v>
      </x:c>
      <x:c r="D13" s="47" t="str">
        <x:f>IF(ISNUMBER('SME-01'!M16),'SME-01'!M16,IF('SME-01'!M16="","",'SME-01'!M16))</x:f>
      </x:c>
      <x:c r="E13" s="47" t="n">
        <x:f>IF(ISNUMBER(D13),1,0)</x:f>
        <x:v>0</x:v>
      </x:c>
      <x:c r="F13" s="47" t="str">
        <x:f>IF('SME-01'!K16="","",'SME-01'!K16)</x:f>
      </x:c>
      <x:c r="G13" s="47" t="str">
        <x:f>IF('SME-01'!L16="","",'SME-01'!L16)</x:f>
      </x:c>
      <x:c r="H13" s="47" t="str">
        <x:f>IF('SME-01'!F16="","",'SME-01'!F16)</x:f>
      </x:c>
      <x:c r="I13" s="47" t="str">
        <x:f>IF('SME-01'!O16="","",'SME-01'!O16)</x:f>
      </x:c>
      <x:c r="J13" s="47" t="str">
        <x:f>IF('SME-01'!H2="","",'SME-01'!H2)</x:f>
      </x:c>
    </x:row>
    <x:row r="14" ht="42" customHeight="1">
      <x:c r="A14" s="47" t="str">
        <x:v>SME-01</x:v>
      </x:c>
      <x:c r="B14" s="47" t="str">
        <x:f>'SME-01'!A17</x:f>
        <x:v>Q10</x:v>
      </x:c>
      <x:c r="C14" s="47" t="str">
        <x:f>'SME-01'!B17</x:f>
        <x:v>Incident response</x:v>
      </x:c>
      <x:c r="D14" s="47" t="str">
        <x:f>IF(ISNUMBER('SME-01'!M17),'SME-01'!M17,IF('SME-01'!M17="","",'SME-01'!M17))</x:f>
      </x:c>
      <x:c r="E14" s="47" t="n">
        <x:f>IF(ISNUMBER(D14),1,0)</x:f>
        <x:v>0</x:v>
      </x:c>
      <x:c r="F14" s="47" t="str">
        <x:f>IF('SME-01'!K17="","",'SME-01'!K17)</x:f>
      </x:c>
      <x:c r="G14" s="47" t="str">
        <x:f>IF('SME-01'!L17="","",'SME-01'!L17)</x:f>
      </x:c>
      <x:c r="H14" s="47" t="str">
        <x:f>IF('SME-01'!F17="","",'SME-01'!F17)</x:f>
      </x:c>
      <x:c r="I14" s="47" t="str">
        <x:f>IF('SME-01'!O17="","",'SME-01'!O17)</x:f>
      </x:c>
      <x:c r="J14" s="47" t="str">
        <x:f>IF('SME-01'!H2="","",'SME-01'!H2)</x:f>
      </x:c>
    </x:row>
    <x:row r="15" ht="42" customHeight="1">
      <x:c r="A15" s="47" t="str">
        <x:v>SME-01</x:v>
      </x:c>
      <x:c r="B15" s="47" t="str">
        <x:f>'SME-01'!A18</x:f>
        <x:v>Q11</x:v>
      </x:c>
      <x:c r="C15" s="47" t="str">
        <x:f>'SME-01'!B18</x:f>
        <x:v>People and policy</x:v>
      </x:c>
      <x:c r="D15" s="47" t="str">
        <x:f>IF(ISNUMBER('SME-01'!M18),'SME-01'!M18,IF('SME-01'!M18="","",'SME-01'!M18))</x:f>
      </x:c>
      <x:c r="E15" s="47" t="n">
        <x:f>IF(ISNUMBER(D15),1,0)</x:f>
        <x:v>0</x:v>
      </x:c>
      <x:c r="F15" s="47" t="str">
        <x:f>IF('SME-01'!K18="","",'SME-01'!K18)</x:f>
      </x:c>
      <x:c r="G15" s="47" t="str">
        <x:f>IF('SME-01'!L18="","",'SME-01'!L18)</x:f>
      </x:c>
      <x:c r="H15" s="47" t="str">
        <x:f>IF('SME-01'!F18="","",'SME-01'!F18)</x:f>
      </x:c>
      <x:c r="I15" s="47" t="str">
        <x:f>IF('SME-01'!O18="","",'SME-01'!O18)</x:f>
      </x:c>
      <x:c r="J15" s="47" t="str">
        <x:f>IF('SME-01'!H2="","",'SME-01'!H2)</x:f>
      </x:c>
    </x:row>
    <x:row r="16" ht="42" customHeight="1">
      <x:c r="A16" s="47" t="str">
        <x:v>SME-01</x:v>
      </x:c>
      <x:c r="B16" s="47" t="str">
        <x:f>'SME-01'!A19</x:f>
        <x:v>Q12</x:v>
      </x:c>
      <x:c r="C16" s="47" t="str">
        <x:f>'SME-01'!B19</x:f>
        <x:v>Barriers and support</x:v>
      </x:c>
      <x:c r="D16" s="47" t="str">
        <x:f>IF(ISNUMBER('SME-01'!M19),'SME-01'!M19,IF('SME-01'!M19="","",'SME-01'!M19))</x:f>
        <x:v>N/A</x:v>
      </x:c>
      <x:c r="E16" s="47" t="n">
        <x:f>IF(ISNUMBER(D16),1,0)</x:f>
        <x:v>0</x:v>
      </x:c>
      <x:c r="F16" s="47" t="str">
        <x:f>IF('SME-01'!K19="","",'SME-01'!K19)</x:f>
      </x:c>
      <x:c r="G16" s="47" t="str">
        <x:f>IF('SME-01'!L19="","",'SME-01'!L19)</x:f>
      </x:c>
      <x:c r="H16" s="47" t="str">
        <x:f>IF('SME-01'!F19="","",'SME-01'!F19)</x:f>
      </x:c>
      <x:c r="I16" s="47" t="str">
        <x:f>IF('SME-01'!O19="","",'SME-01'!O19)</x:f>
      </x:c>
      <x:c r="J16" s="47" t="str">
        <x:f>IF('SME-01'!H2="","",'SME-01'!H2)</x:f>
      </x:c>
    </x:row>
    <x:row r="17" ht="42" customHeight="1">
      <x:c r="A17" s="47" t="str">
        <x:v>SME-02</x:v>
      </x:c>
      <x:c r="B17" s="47" t="str">
        <x:f>'SME-02'!A8</x:f>
        <x:v>Q01</x:v>
      </x:c>
      <x:c r="C17" s="47" t="str">
        <x:f>'SME-02'!B8</x:f>
        <x:v>AI use context</x:v>
      </x:c>
      <x:c r="D17" s="47" t="str">
        <x:f>IF(ISNUMBER('SME-02'!M8),'SME-02'!M8,IF('SME-02'!M8="","",'SME-02'!M8))</x:f>
      </x:c>
      <x:c r="E17" s="47" t="n">
        <x:f>IF(ISNUMBER(D17),1,0)</x:f>
        <x:v>0</x:v>
      </x:c>
      <x:c r="F17" s="47" t="str">
        <x:f>IF('SME-02'!K8="","",'SME-02'!K8)</x:f>
      </x:c>
      <x:c r="G17" s="47" t="str">
        <x:f>IF('SME-02'!L8="","",'SME-02'!L8)</x:f>
      </x:c>
      <x:c r="H17" s="47" t="str">
        <x:f>IF('SME-02'!F8="","",'SME-02'!F8)</x:f>
      </x:c>
      <x:c r="I17" s="47" t="str">
        <x:f>IF('SME-02'!O8="","",'SME-02'!O8)</x:f>
      </x:c>
      <x:c r="J17" s="47" t="str">
        <x:f>IF('SME-02'!H2="","",'SME-02'!H2)</x:f>
      </x:c>
    </x:row>
    <x:row r="18" ht="42" customHeight="1">
      <x:c r="A18" s="47" t="str">
        <x:v>SME-02</x:v>
      </x:c>
      <x:c r="B18" s="47" t="str">
        <x:f>'SME-02'!A9</x:f>
        <x:v>Q02</x:v>
      </x:c>
      <x:c r="C18" s="47" t="str">
        <x:f>'SME-02'!B9</x:f>
        <x:v>Accountability and governance</x:v>
      </x:c>
      <x:c r="D18" s="47" t="str">
        <x:f>IF(ISNUMBER('SME-02'!M9),'SME-02'!M9,IF('SME-02'!M9="","",'SME-02'!M9))</x:f>
      </x:c>
      <x:c r="E18" s="47" t="n">
        <x:f>IF(ISNUMBER(D18),1,0)</x:f>
        <x:v>0</x:v>
      </x:c>
      <x:c r="F18" s="47" t="str">
        <x:f>IF('SME-02'!K9="","",'SME-02'!K9)</x:f>
      </x:c>
      <x:c r="G18" s="47" t="str">
        <x:f>IF('SME-02'!L9="","",'SME-02'!L9)</x:f>
      </x:c>
      <x:c r="H18" s="47" t="str">
        <x:f>IF('SME-02'!F9="","",'SME-02'!F9)</x:f>
      </x:c>
      <x:c r="I18" s="47" t="str">
        <x:f>IF('SME-02'!O9="","",'SME-02'!O9)</x:f>
      </x:c>
      <x:c r="J18" s="47" t="str">
        <x:f>IF('SME-02'!H2="","",'SME-02'!H2)</x:f>
      </x:c>
    </x:row>
    <x:row r="19" ht="42" customHeight="1">
      <x:c r="A19" s="47" t="str">
        <x:v>SME-02</x:v>
      </x:c>
      <x:c r="B19" s="47" t="str">
        <x:f>'SME-02'!A10</x:f>
        <x:v>Q03</x:v>
      </x:c>
      <x:c r="C19" s="47" t="str">
        <x:f>'SME-02'!B10</x:f>
        <x:v>Accountability and governance</x:v>
      </x:c>
      <x:c r="D19" s="47" t="str">
        <x:f>IF(ISNUMBER('SME-02'!M10),'SME-02'!M10,IF('SME-02'!M10="","",'SME-02'!M10))</x:f>
      </x:c>
      <x:c r="E19" s="47" t="n">
        <x:f>IF(ISNUMBER(D19),1,0)</x:f>
        <x:v>0</x:v>
      </x:c>
      <x:c r="F19" s="47" t="str">
        <x:f>IF('SME-02'!K10="","",'SME-02'!K10)</x:f>
      </x:c>
      <x:c r="G19" s="47" t="str">
        <x:f>IF('SME-02'!L10="","",'SME-02'!L10)</x:f>
      </x:c>
      <x:c r="H19" s="47" t="str">
        <x:f>IF('SME-02'!F10="","",'SME-02'!F10)</x:f>
      </x:c>
      <x:c r="I19" s="47" t="str">
        <x:f>IF('SME-02'!O10="","",'SME-02'!O10)</x:f>
      </x:c>
      <x:c r="J19" s="47" t="str">
        <x:f>IF('SME-02'!H2="","",'SME-02'!H2)</x:f>
      </x:c>
    </x:row>
    <x:row r="20" ht="42" customHeight="1">
      <x:c r="A20" s="47" t="str">
        <x:v>SME-02</x:v>
      </x:c>
      <x:c r="B20" s="47" t="str">
        <x:f>'SME-02'!A11</x:f>
        <x:v>Q04</x:v>
      </x:c>
      <x:c r="C20" s="47" t="str">
        <x:f>'SME-02'!B11</x:f>
        <x:v>Data protection</x:v>
      </x:c>
      <x:c r="D20" s="47" t="str">
        <x:f>IF(ISNUMBER('SME-02'!M11),'SME-02'!M11,IF('SME-02'!M11="","",'SME-02'!M11))</x:f>
      </x:c>
      <x:c r="E20" s="47" t="n">
        <x:f>IF(ISNUMBER(D20),1,0)</x:f>
        <x:v>0</x:v>
      </x:c>
      <x:c r="F20" s="47" t="str">
        <x:f>IF('SME-02'!K11="","",'SME-02'!K11)</x:f>
      </x:c>
      <x:c r="G20" s="47" t="str">
        <x:f>IF('SME-02'!L11="","",'SME-02'!L11)</x:f>
      </x:c>
      <x:c r="H20" s="47" t="str">
        <x:f>IF('SME-02'!F11="","",'SME-02'!F11)</x:f>
      </x:c>
      <x:c r="I20" s="47" t="str">
        <x:f>IF('SME-02'!O11="","",'SME-02'!O11)</x:f>
      </x:c>
      <x:c r="J20" s="47" t="str">
        <x:f>IF('SME-02'!H2="","",'SME-02'!H2)</x:f>
      </x:c>
    </x:row>
    <x:row r="21" ht="42" customHeight="1">
      <x:c r="A21" s="47" t="str">
        <x:v>SME-02</x:v>
      </x:c>
      <x:c r="B21" s="47" t="str">
        <x:f>'SME-02'!A12</x:f>
        <x:v>Q05</x:v>
      </x:c>
      <x:c r="C21" s="47" t="str">
        <x:f>'SME-02'!B12</x:f>
        <x:v>Third-party management</x:v>
      </x:c>
      <x:c r="D21" s="47" t="str">
        <x:f>IF(ISNUMBER('SME-02'!M12),'SME-02'!M12,IF('SME-02'!M12="","",'SME-02'!M12))</x:f>
      </x:c>
      <x:c r="E21" s="47" t="n">
        <x:f>IF(ISNUMBER(D21),1,0)</x:f>
        <x:v>0</x:v>
      </x:c>
      <x:c r="F21" s="47" t="str">
        <x:f>IF('SME-02'!K12="","",'SME-02'!K12)</x:f>
      </x:c>
      <x:c r="G21" s="47" t="str">
        <x:f>IF('SME-02'!L12="","",'SME-02'!L12)</x:f>
      </x:c>
      <x:c r="H21" s="47" t="str">
        <x:f>IF('SME-02'!F12="","",'SME-02'!F12)</x:f>
      </x:c>
      <x:c r="I21" s="47" t="str">
        <x:f>IF('SME-02'!O12="","",'SME-02'!O12)</x:f>
      </x:c>
      <x:c r="J21" s="47" t="str">
        <x:f>IF('SME-02'!H2="","",'SME-02'!H2)</x:f>
      </x:c>
    </x:row>
    <x:row r="22" ht="42" customHeight="1">
      <x:c r="A22" s="47" t="str">
        <x:v>SME-02</x:v>
      </x:c>
      <x:c r="B22" s="47" t="str">
        <x:f>'SME-02'!A13</x:f>
        <x:v>Q06</x:v>
      </x:c>
      <x:c r="C22" s="47" t="str">
        <x:f>'SME-02'!B13</x:f>
        <x:v>Access and integration security</x:v>
      </x:c>
      <x:c r="D22" s="47" t="str">
        <x:f>IF(ISNUMBER('SME-02'!M13),'SME-02'!M13,IF('SME-02'!M13="","",'SME-02'!M13))</x:f>
      </x:c>
      <x:c r="E22" s="47" t="n">
        <x:f>IF(ISNUMBER(D22),1,0)</x:f>
        <x:v>0</x:v>
      </x:c>
      <x:c r="F22" s="47" t="str">
        <x:f>IF('SME-02'!K13="","",'SME-02'!K13)</x:f>
      </x:c>
      <x:c r="G22" s="47" t="str">
        <x:f>IF('SME-02'!L13="","",'SME-02'!L13)</x:f>
      </x:c>
      <x:c r="H22" s="47" t="str">
        <x:f>IF('SME-02'!F13="","",'SME-02'!F13)</x:f>
      </x:c>
      <x:c r="I22" s="47" t="str">
        <x:f>IF('SME-02'!O13="","",'SME-02'!O13)</x:f>
      </x:c>
      <x:c r="J22" s="47" t="str">
        <x:f>IF('SME-02'!H2="","",'SME-02'!H2)</x:f>
      </x:c>
    </x:row>
    <x:row r="23" ht="42" customHeight="1">
      <x:c r="A23" s="47" t="str">
        <x:v>SME-02</x:v>
      </x:c>
      <x:c r="B23" s="47" t="str">
        <x:f>'SME-02'!A14</x:f>
        <x:v>Q07</x:v>
      </x:c>
      <x:c r="C23" s="47" t="str">
        <x:f>'SME-02'!B14</x:f>
        <x:v>Human oversight</x:v>
      </x:c>
      <x:c r="D23" s="47" t="str">
        <x:f>IF(ISNUMBER('SME-02'!M14),'SME-02'!M14,IF('SME-02'!M14="","",'SME-02'!M14))</x:f>
      </x:c>
      <x:c r="E23" s="47" t="n">
        <x:f>IF(ISNUMBER(D23),1,0)</x:f>
        <x:v>0</x:v>
      </x:c>
      <x:c r="F23" s="47" t="str">
        <x:f>IF('SME-02'!K14="","",'SME-02'!K14)</x:f>
      </x:c>
      <x:c r="G23" s="47" t="str">
        <x:f>IF('SME-02'!L14="","",'SME-02'!L14)</x:f>
      </x:c>
      <x:c r="H23" s="47" t="str">
        <x:f>IF('SME-02'!F14="","",'SME-02'!F14)</x:f>
      </x:c>
      <x:c r="I23" s="47" t="str">
        <x:f>IF('SME-02'!O14="","",'SME-02'!O14)</x:f>
      </x:c>
      <x:c r="J23" s="47" t="str">
        <x:f>IF('SME-02'!H2="","",'SME-02'!H2)</x:f>
      </x:c>
    </x:row>
    <x:row r="24" ht="42" customHeight="1">
      <x:c r="A24" s="47" t="str">
        <x:v>SME-02</x:v>
      </x:c>
      <x:c r="B24" s="47" t="str">
        <x:f>'SME-02'!A15</x:f>
        <x:v>Q08</x:v>
      </x:c>
      <x:c r="C24" s="47" t="str">
        <x:f>'SME-02'!B15</x:f>
        <x:v>Testing and assurance</x:v>
      </x:c>
      <x:c r="D24" s="47" t="str">
        <x:f>IF(ISNUMBER('SME-02'!M15),'SME-02'!M15,IF('SME-02'!M15="","",'SME-02'!M15))</x:f>
      </x:c>
      <x:c r="E24" s="47" t="n">
        <x:f>IF(ISNUMBER(D24),1,0)</x:f>
        <x:v>0</x:v>
      </x:c>
      <x:c r="F24" s="47" t="str">
        <x:f>IF('SME-02'!K15="","",'SME-02'!K15)</x:f>
      </x:c>
      <x:c r="G24" s="47" t="str">
        <x:f>IF('SME-02'!L15="","",'SME-02'!L15)</x:f>
      </x:c>
      <x:c r="H24" s="47" t="str">
        <x:f>IF('SME-02'!F15="","",'SME-02'!F15)</x:f>
      </x:c>
      <x:c r="I24" s="47" t="str">
        <x:f>IF('SME-02'!O15="","",'SME-02'!O15)</x:f>
      </x:c>
      <x:c r="J24" s="47" t="str">
        <x:f>IF('SME-02'!H2="","",'SME-02'!H2)</x:f>
      </x:c>
    </x:row>
    <x:row r="25" ht="42" customHeight="1">
      <x:c r="A25" s="47" t="str">
        <x:v>SME-02</x:v>
      </x:c>
      <x:c r="B25" s="47" t="str">
        <x:f>'SME-02'!A16</x:f>
        <x:v>Q09</x:v>
      </x:c>
      <x:c r="C25" s="47" t="str">
        <x:f>'SME-02'!B16</x:f>
        <x:v>Monitoring and change</x:v>
      </x:c>
      <x:c r="D25" s="47" t="str">
        <x:f>IF(ISNUMBER('SME-02'!M16),'SME-02'!M16,IF('SME-02'!M16="","",'SME-02'!M16))</x:f>
      </x:c>
      <x:c r="E25" s="47" t="n">
        <x:f>IF(ISNUMBER(D25),1,0)</x:f>
        <x:v>0</x:v>
      </x:c>
      <x:c r="F25" s="47" t="str">
        <x:f>IF('SME-02'!K16="","",'SME-02'!K16)</x:f>
      </x:c>
      <x:c r="G25" s="47" t="str">
        <x:f>IF('SME-02'!L16="","",'SME-02'!L16)</x:f>
      </x:c>
      <x:c r="H25" s="47" t="str">
        <x:f>IF('SME-02'!F16="","",'SME-02'!F16)</x:f>
      </x:c>
      <x:c r="I25" s="47" t="str">
        <x:f>IF('SME-02'!O16="","",'SME-02'!O16)</x:f>
      </x:c>
      <x:c r="J25" s="47" t="str">
        <x:f>IF('SME-02'!H2="","",'SME-02'!H2)</x:f>
      </x:c>
    </x:row>
    <x:row r="26" ht="42" customHeight="1">
      <x:c r="A26" s="47" t="str">
        <x:v>SME-02</x:v>
      </x:c>
      <x:c r="B26" s="47" t="str">
        <x:f>'SME-02'!A17</x:f>
        <x:v>Q10</x:v>
      </x:c>
      <x:c r="C26" s="47" t="str">
        <x:f>'SME-02'!B17</x:f>
        <x:v>Incident response</x:v>
      </x:c>
      <x:c r="D26" s="47" t="str">
        <x:f>IF(ISNUMBER('SME-02'!M17),'SME-02'!M17,IF('SME-02'!M17="","",'SME-02'!M17))</x:f>
      </x:c>
      <x:c r="E26" s="47" t="n">
        <x:f>IF(ISNUMBER(D26),1,0)</x:f>
        <x:v>0</x:v>
      </x:c>
      <x:c r="F26" s="47" t="str">
        <x:f>IF('SME-02'!K17="","",'SME-02'!K17)</x:f>
      </x:c>
      <x:c r="G26" s="47" t="str">
        <x:f>IF('SME-02'!L17="","",'SME-02'!L17)</x:f>
      </x:c>
      <x:c r="H26" s="47" t="str">
        <x:f>IF('SME-02'!F17="","",'SME-02'!F17)</x:f>
      </x:c>
      <x:c r="I26" s="47" t="str">
        <x:f>IF('SME-02'!O17="","",'SME-02'!O17)</x:f>
      </x:c>
      <x:c r="J26" s="47" t="str">
        <x:f>IF('SME-02'!H2="","",'SME-02'!H2)</x:f>
      </x:c>
    </x:row>
    <x:row r="27" ht="42" customHeight="1">
      <x:c r="A27" s="47" t="str">
        <x:v>SME-02</x:v>
      </x:c>
      <x:c r="B27" s="47" t="str">
        <x:f>'SME-02'!A18</x:f>
        <x:v>Q11</x:v>
      </x:c>
      <x:c r="C27" s="47" t="str">
        <x:f>'SME-02'!B18</x:f>
        <x:v>People and policy</x:v>
      </x:c>
      <x:c r="D27" s="47" t="str">
        <x:f>IF(ISNUMBER('SME-02'!M18),'SME-02'!M18,IF('SME-02'!M18="","",'SME-02'!M18))</x:f>
      </x:c>
      <x:c r="E27" s="47" t="n">
        <x:f>IF(ISNUMBER(D27),1,0)</x:f>
        <x:v>0</x:v>
      </x:c>
      <x:c r="F27" s="47" t="str">
        <x:f>IF('SME-02'!K18="","",'SME-02'!K18)</x:f>
      </x:c>
      <x:c r="G27" s="47" t="str">
        <x:f>IF('SME-02'!L18="","",'SME-02'!L18)</x:f>
      </x:c>
      <x:c r="H27" s="47" t="str">
        <x:f>IF('SME-02'!F18="","",'SME-02'!F18)</x:f>
      </x:c>
      <x:c r="I27" s="47" t="str">
        <x:f>IF('SME-02'!O18="","",'SME-02'!O18)</x:f>
      </x:c>
      <x:c r="J27" s="47" t="str">
        <x:f>IF('SME-02'!H2="","",'SME-02'!H2)</x:f>
      </x:c>
    </x:row>
    <x:row r="28" ht="42" customHeight="1">
      <x:c r="A28" s="47" t="str">
        <x:v>SME-02</x:v>
      </x:c>
      <x:c r="B28" s="47" t="str">
        <x:f>'SME-02'!A19</x:f>
        <x:v>Q12</x:v>
      </x:c>
      <x:c r="C28" s="47" t="str">
        <x:f>'SME-02'!B19</x:f>
        <x:v>Barriers and support</x:v>
      </x:c>
      <x:c r="D28" s="47" t="str">
        <x:f>IF(ISNUMBER('SME-02'!M19),'SME-02'!M19,IF('SME-02'!M19="","",'SME-02'!M19))</x:f>
        <x:v>N/A</x:v>
      </x:c>
      <x:c r="E28" s="47" t="n">
        <x:f>IF(ISNUMBER(D28),1,0)</x:f>
        <x:v>0</x:v>
      </x:c>
      <x:c r="F28" s="47" t="str">
        <x:f>IF('SME-02'!K19="","",'SME-02'!K19)</x:f>
      </x:c>
      <x:c r="G28" s="47" t="str">
        <x:f>IF('SME-02'!L19="","",'SME-02'!L19)</x:f>
      </x:c>
      <x:c r="H28" s="47" t="str">
        <x:f>IF('SME-02'!F19="","",'SME-02'!F19)</x:f>
      </x:c>
      <x:c r="I28" s="47" t="str">
        <x:f>IF('SME-02'!O19="","",'SME-02'!O19)</x:f>
      </x:c>
      <x:c r="J28" s="47" t="str">
        <x:f>IF('SME-02'!H2="","",'SME-02'!H2)</x:f>
      </x:c>
    </x:row>
    <x:row r="29" ht="42" customHeight="1">
      <x:c r="A29" s="47" t="str">
        <x:v>SME-03</x:v>
      </x:c>
      <x:c r="B29" s="47" t="str">
        <x:f>'SME-03'!A8</x:f>
        <x:v>Q01</x:v>
      </x:c>
      <x:c r="C29" s="47" t="str">
        <x:f>'SME-03'!B8</x:f>
        <x:v>AI use context</x:v>
      </x:c>
      <x:c r="D29" s="47" t="str">
        <x:f>IF(ISNUMBER('SME-03'!M8),'SME-03'!M8,IF('SME-03'!M8="","",'SME-03'!M8))</x:f>
      </x:c>
      <x:c r="E29" s="47" t="n">
        <x:f>IF(ISNUMBER(D29),1,0)</x:f>
        <x:v>0</x:v>
      </x:c>
      <x:c r="F29" s="47" t="str">
        <x:f>IF('SME-03'!K8="","",'SME-03'!K8)</x:f>
      </x:c>
      <x:c r="G29" s="47" t="str">
        <x:f>IF('SME-03'!L8="","",'SME-03'!L8)</x:f>
      </x:c>
      <x:c r="H29" s="47" t="str">
        <x:f>IF('SME-03'!F8="","",'SME-03'!F8)</x:f>
      </x:c>
      <x:c r="I29" s="47" t="str">
        <x:f>IF('SME-03'!O8="","",'SME-03'!O8)</x:f>
      </x:c>
      <x:c r="J29" s="47" t="str">
        <x:f>IF('SME-03'!H2="","",'SME-03'!H2)</x:f>
      </x:c>
    </x:row>
    <x:row r="30" ht="42" customHeight="1">
      <x:c r="A30" s="47" t="str">
        <x:v>SME-03</x:v>
      </x:c>
      <x:c r="B30" s="47" t="str">
        <x:f>'SME-03'!A9</x:f>
        <x:v>Q02</x:v>
      </x:c>
      <x:c r="C30" s="47" t="str">
        <x:f>'SME-03'!B9</x:f>
        <x:v>Accountability and governance</x:v>
      </x:c>
      <x:c r="D30" s="47" t="str">
        <x:f>IF(ISNUMBER('SME-03'!M9),'SME-03'!M9,IF('SME-03'!M9="","",'SME-03'!M9))</x:f>
      </x:c>
      <x:c r="E30" s="47" t="n">
        <x:f>IF(ISNUMBER(D30),1,0)</x:f>
        <x:v>0</x:v>
      </x:c>
      <x:c r="F30" s="47" t="str">
        <x:f>IF('SME-03'!K9="","",'SME-03'!K9)</x:f>
      </x:c>
      <x:c r="G30" s="47" t="str">
        <x:f>IF('SME-03'!L9="","",'SME-03'!L9)</x:f>
      </x:c>
      <x:c r="H30" s="47" t="str">
        <x:f>IF('SME-03'!F9="","",'SME-03'!F9)</x:f>
      </x:c>
      <x:c r="I30" s="47" t="str">
        <x:f>IF('SME-03'!O9="","",'SME-03'!O9)</x:f>
      </x:c>
      <x:c r="J30" s="47" t="str">
        <x:f>IF('SME-03'!H2="","",'SME-03'!H2)</x:f>
      </x:c>
    </x:row>
    <x:row r="31" ht="42" customHeight="1">
      <x:c r="A31" s="47" t="str">
        <x:v>SME-03</x:v>
      </x:c>
      <x:c r="B31" s="47" t="str">
        <x:f>'SME-03'!A10</x:f>
        <x:v>Q03</x:v>
      </x:c>
      <x:c r="C31" s="47" t="str">
        <x:f>'SME-03'!B10</x:f>
        <x:v>Accountability and governance</x:v>
      </x:c>
      <x:c r="D31" s="47" t="str">
        <x:f>IF(ISNUMBER('SME-03'!M10),'SME-03'!M10,IF('SME-03'!M10="","",'SME-03'!M10))</x:f>
      </x:c>
      <x:c r="E31" s="47" t="n">
        <x:f>IF(ISNUMBER(D31),1,0)</x:f>
        <x:v>0</x:v>
      </x:c>
      <x:c r="F31" s="47" t="str">
        <x:f>IF('SME-03'!K10="","",'SME-03'!K10)</x:f>
      </x:c>
      <x:c r="G31" s="47" t="str">
        <x:f>IF('SME-03'!L10="","",'SME-03'!L10)</x:f>
      </x:c>
      <x:c r="H31" s="47" t="str">
        <x:f>IF('SME-03'!F10="","",'SME-03'!F10)</x:f>
      </x:c>
      <x:c r="I31" s="47" t="str">
        <x:f>IF('SME-03'!O10="","",'SME-03'!O10)</x:f>
      </x:c>
      <x:c r="J31" s="47" t="str">
        <x:f>IF('SME-03'!H2="","",'SME-03'!H2)</x:f>
      </x:c>
    </x:row>
    <x:row r="32" ht="42" customHeight="1">
      <x:c r="A32" s="47" t="str">
        <x:v>SME-03</x:v>
      </x:c>
      <x:c r="B32" s="47" t="str">
        <x:f>'SME-03'!A11</x:f>
        <x:v>Q04</x:v>
      </x:c>
      <x:c r="C32" s="47" t="str">
        <x:f>'SME-03'!B11</x:f>
        <x:v>Data protection</x:v>
      </x:c>
      <x:c r="D32" s="47" t="str">
        <x:f>IF(ISNUMBER('SME-03'!M11),'SME-03'!M11,IF('SME-03'!M11="","",'SME-03'!M11))</x:f>
      </x:c>
      <x:c r="E32" s="47" t="n">
        <x:f>IF(ISNUMBER(D32),1,0)</x:f>
        <x:v>0</x:v>
      </x:c>
      <x:c r="F32" s="47" t="str">
        <x:f>IF('SME-03'!K11="","",'SME-03'!K11)</x:f>
      </x:c>
      <x:c r="G32" s="47" t="str">
        <x:f>IF('SME-03'!L11="","",'SME-03'!L11)</x:f>
      </x:c>
      <x:c r="H32" s="47" t="str">
        <x:f>IF('SME-03'!F11="","",'SME-03'!F11)</x:f>
      </x:c>
      <x:c r="I32" s="47" t="str">
        <x:f>IF('SME-03'!O11="","",'SME-03'!O11)</x:f>
      </x:c>
      <x:c r="J32" s="47" t="str">
        <x:f>IF('SME-03'!H2="","",'SME-03'!H2)</x:f>
      </x:c>
    </x:row>
    <x:row r="33" ht="42" customHeight="1">
      <x:c r="A33" s="47" t="str">
        <x:v>SME-03</x:v>
      </x:c>
      <x:c r="B33" s="47" t="str">
        <x:f>'SME-03'!A12</x:f>
        <x:v>Q05</x:v>
      </x:c>
      <x:c r="C33" s="47" t="str">
        <x:f>'SME-03'!B12</x:f>
        <x:v>Third-party management</x:v>
      </x:c>
      <x:c r="D33" s="47" t="str">
        <x:f>IF(ISNUMBER('SME-03'!M12),'SME-03'!M12,IF('SME-03'!M12="","",'SME-03'!M12))</x:f>
      </x:c>
      <x:c r="E33" s="47" t="n">
        <x:f>IF(ISNUMBER(D33),1,0)</x:f>
        <x:v>0</x:v>
      </x:c>
      <x:c r="F33" s="47" t="str">
        <x:f>IF('SME-03'!K12="","",'SME-03'!K12)</x:f>
      </x:c>
      <x:c r="G33" s="47" t="str">
        <x:f>IF('SME-03'!L12="","",'SME-03'!L12)</x:f>
      </x:c>
      <x:c r="H33" s="47" t="str">
        <x:f>IF('SME-03'!F12="","",'SME-03'!F12)</x:f>
      </x:c>
      <x:c r="I33" s="47" t="str">
        <x:f>IF('SME-03'!O12="","",'SME-03'!O12)</x:f>
      </x:c>
      <x:c r="J33" s="47" t="str">
        <x:f>IF('SME-03'!H2="","",'SME-03'!H2)</x:f>
      </x:c>
    </x:row>
    <x:row r="34" ht="42" customHeight="1">
      <x:c r="A34" s="47" t="str">
        <x:v>SME-03</x:v>
      </x:c>
      <x:c r="B34" s="47" t="str">
        <x:f>'SME-03'!A13</x:f>
        <x:v>Q06</x:v>
      </x:c>
      <x:c r="C34" s="47" t="str">
        <x:f>'SME-03'!B13</x:f>
        <x:v>Access and integration security</x:v>
      </x:c>
      <x:c r="D34" s="47" t="str">
        <x:f>IF(ISNUMBER('SME-03'!M13),'SME-03'!M13,IF('SME-03'!M13="","",'SME-03'!M13))</x:f>
      </x:c>
      <x:c r="E34" s="47" t="n">
        <x:f>IF(ISNUMBER(D34),1,0)</x:f>
        <x:v>0</x:v>
      </x:c>
      <x:c r="F34" s="47" t="str">
        <x:f>IF('SME-03'!K13="","",'SME-03'!K13)</x:f>
      </x:c>
      <x:c r="G34" s="47" t="str">
        <x:f>IF('SME-03'!L13="","",'SME-03'!L13)</x:f>
      </x:c>
      <x:c r="H34" s="47" t="str">
        <x:f>IF('SME-03'!F13="","",'SME-03'!F13)</x:f>
      </x:c>
      <x:c r="I34" s="47" t="str">
        <x:f>IF('SME-03'!O13="","",'SME-03'!O13)</x:f>
      </x:c>
      <x:c r="J34" s="47" t="str">
        <x:f>IF('SME-03'!H2="","",'SME-03'!H2)</x:f>
      </x:c>
    </x:row>
    <x:row r="35" ht="42" customHeight="1">
      <x:c r="A35" s="47" t="str">
        <x:v>SME-03</x:v>
      </x:c>
      <x:c r="B35" s="47" t="str">
        <x:f>'SME-03'!A14</x:f>
        <x:v>Q07</x:v>
      </x:c>
      <x:c r="C35" s="47" t="str">
        <x:f>'SME-03'!B14</x:f>
        <x:v>Human oversight</x:v>
      </x:c>
      <x:c r="D35" s="47" t="str">
        <x:f>IF(ISNUMBER('SME-03'!M14),'SME-03'!M14,IF('SME-03'!M14="","",'SME-03'!M14))</x:f>
      </x:c>
      <x:c r="E35" s="47" t="n">
        <x:f>IF(ISNUMBER(D35),1,0)</x:f>
        <x:v>0</x:v>
      </x:c>
      <x:c r="F35" s="47" t="str">
        <x:f>IF('SME-03'!K14="","",'SME-03'!K14)</x:f>
      </x:c>
      <x:c r="G35" s="47" t="str">
        <x:f>IF('SME-03'!L14="","",'SME-03'!L14)</x:f>
      </x:c>
      <x:c r="H35" s="47" t="str">
        <x:f>IF('SME-03'!F14="","",'SME-03'!F14)</x:f>
      </x:c>
      <x:c r="I35" s="47" t="str">
        <x:f>IF('SME-03'!O14="","",'SME-03'!O14)</x:f>
      </x:c>
      <x:c r="J35" s="47" t="str">
        <x:f>IF('SME-03'!H2="","",'SME-03'!H2)</x:f>
      </x:c>
    </x:row>
    <x:row r="36" ht="42" customHeight="1">
      <x:c r="A36" s="47" t="str">
        <x:v>SME-03</x:v>
      </x:c>
      <x:c r="B36" s="47" t="str">
        <x:f>'SME-03'!A15</x:f>
        <x:v>Q08</x:v>
      </x:c>
      <x:c r="C36" s="47" t="str">
        <x:f>'SME-03'!B15</x:f>
        <x:v>Testing and assurance</x:v>
      </x:c>
      <x:c r="D36" s="47" t="str">
        <x:f>IF(ISNUMBER('SME-03'!M15),'SME-03'!M15,IF('SME-03'!M15="","",'SME-03'!M15))</x:f>
      </x:c>
      <x:c r="E36" s="47" t="n">
        <x:f>IF(ISNUMBER(D36),1,0)</x:f>
        <x:v>0</x:v>
      </x:c>
      <x:c r="F36" s="47" t="str">
        <x:f>IF('SME-03'!K15="","",'SME-03'!K15)</x:f>
      </x:c>
      <x:c r="G36" s="47" t="str">
        <x:f>IF('SME-03'!L15="","",'SME-03'!L15)</x:f>
      </x:c>
      <x:c r="H36" s="47" t="str">
        <x:f>IF('SME-03'!F15="","",'SME-03'!F15)</x:f>
      </x:c>
      <x:c r="I36" s="47" t="str">
        <x:f>IF('SME-03'!O15="","",'SME-03'!O15)</x:f>
      </x:c>
      <x:c r="J36" s="47" t="str">
        <x:f>IF('SME-03'!H2="","",'SME-03'!H2)</x:f>
      </x:c>
    </x:row>
    <x:row r="37" ht="42" customHeight="1">
      <x:c r="A37" s="47" t="str">
        <x:v>SME-03</x:v>
      </x:c>
      <x:c r="B37" s="47" t="str">
        <x:f>'SME-03'!A16</x:f>
        <x:v>Q09</x:v>
      </x:c>
      <x:c r="C37" s="47" t="str">
        <x:f>'SME-03'!B16</x:f>
        <x:v>Monitoring and change</x:v>
      </x:c>
      <x:c r="D37" s="47" t="str">
        <x:f>IF(ISNUMBER('SME-03'!M16),'SME-03'!M16,IF('SME-03'!M16="","",'SME-03'!M16))</x:f>
      </x:c>
      <x:c r="E37" s="47" t="n">
        <x:f>IF(ISNUMBER(D37),1,0)</x:f>
        <x:v>0</x:v>
      </x:c>
      <x:c r="F37" s="47" t="str">
        <x:f>IF('SME-03'!K16="","",'SME-03'!K16)</x:f>
      </x:c>
      <x:c r="G37" s="47" t="str">
        <x:f>IF('SME-03'!L16="","",'SME-03'!L16)</x:f>
      </x:c>
      <x:c r="H37" s="47" t="str">
        <x:f>IF('SME-03'!F16="","",'SME-03'!F16)</x:f>
      </x:c>
      <x:c r="I37" s="47" t="str">
        <x:f>IF('SME-03'!O16="","",'SME-03'!O16)</x:f>
      </x:c>
      <x:c r="J37" s="47" t="str">
        <x:f>IF('SME-03'!H2="","",'SME-03'!H2)</x:f>
      </x:c>
    </x:row>
    <x:row r="38" ht="42" customHeight="1">
      <x:c r="A38" s="47" t="str">
        <x:v>SME-03</x:v>
      </x:c>
      <x:c r="B38" s="47" t="str">
        <x:f>'SME-03'!A17</x:f>
        <x:v>Q10</x:v>
      </x:c>
      <x:c r="C38" s="47" t="str">
        <x:f>'SME-03'!B17</x:f>
        <x:v>Incident response</x:v>
      </x:c>
      <x:c r="D38" s="47" t="str">
        <x:f>IF(ISNUMBER('SME-03'!M17),'SME-03'!M17,IF('SME-03'!M17="","",'SME-03'!M17))</x:f>
      </x:c>
      <x:c r="E38" s="47" t="n">
        <x:f>IF(ISNUMBER(D38),1,0)</x:f>
        <x:v>0</x:v>
      </x:c>
      <x:c r="F38" s="47" t="str">
        <x:f>IF('SME-03'!K17="","",'SME-03'!K17)</x:f>
      </x:c>
      <x:c r="G38" s="47" t="str">
        <x:f>IF('SME-03'!L17="","",'SME-03'!L17)</x:f>
      </x:c>
      <x:c r="H38" s="47" t="str">
        <x:f>IF('SME-03'!F17="","",'SME-03'!F17)</x:f>
      </x:c>
      <x:c r="I38" s="47" t="str">
        <x:f>IF('SME-03'!O17="","",'SME-03'!O17)</x:f>
      </x:c>
      <x:c r="J38" s="47" t="str">
        <x:f>IF('SME-03'!H2="","",'SME-03'!H2)</x:f>
      </x:c>
    </x:row>
    <x:row r="39" ht="42" customHeight="1">
      <x:c r="A39" s="47" t="str">
        <x:v>SME-03</x:v>
      </x:c>
      <x:c r="B39" s="47" t="str">
        <x:f>'SME-03'!A18</x:f>
        <x:v>Q11</x:v>
      </x:c>
      <x:c r="C39" s="47" t="str">
        <x:f>'SME-03'!B18</x:f>
        <x:v>People and policy</x:v>
      </x:c>
      <x:c r="D39" s="47" t="str">
        <x:f>IF(ISNUMBER('SME-03'!M18),'SME-03'!M18,IF('SME-03'!M18="","",'SME-03'!M18))</x:f>
      </x:c>
      <x:c r="E39" s="47" t="n">
        <x:f>IF(ISNUMBER(D39),1,0)</x:f>
        <x:v>0</x:v>
      </x:c>
      <x:c r="F39" s="47" t="str">
        <x:f>IF('SME-03'!K18="","",'SME-03'!K18)</x:f>
      </x:c>
      <x:c r="G39" s="47" t="str">
        <x:f>IF('SME-03'!L18="","",'SME-03'!L18)</x:f>
      </x:c>
      <x:c r="H39" s="47" t="str">
        <x:f>IF('SME-03'!F18="","",'SME-03'!F18)</x:f>
      </x:c>
      <x:c r="I39" s="47" t="str">
        <x:f>IF('SME-03'!O18="","",'SME-03'!O18)</x:f>
      </x:c>
      <x:c r="J39" s="47" t="str">
        <x:f>IF('SME-03'!H2="","",'SME-03'!H2)</x:f>
      </x:c>
    </x:row>
    <x:row r="40" ht="42" customHeight="1">
      <x:c r="A40" s="47" t="str">
        <x:v>SME-03</x:v>
      </x:c>
      <x:c r="B40" s="47" t="str">
        <x:f>'SME-03'!A19</x:f>
        <x:v>Q12</x:v>
      </x:c>
      <x:c r="C40" s="47" t="str">
        <x:f>'SME-03'!B19</x:f>
        <x:v>Barriers and support</x:v>
      </x:c>
      <x:c r="D40" s="47" t="str">
        <x:f>IF(ISNUMBER('SME-03'!M19),'SME-03'!M19,IF('SME-03'!M19="","",'SME-03'!M19))</x:f>
        <x:v>N/A</x:v>
      </x:c>
      <x:c r="E40" s="47" t="n">
        <x:f>IF(ISNUMBER(D40),1,0)</x:f>
        <x:v>0</x:v>
      </x:c>
      <x:c r="F40" s="47" t="str">
        <x:f>IF('SME-03'!K19="","",'SME-03'!K19)</x:f>
      </x:c>
      <x:c r="G40" s="47" t="str">
        <x:f>IF('SME-03'!L19="","",'SME-03'!L19)</x:f>
      </x:c>
      <x:c r="H40" s="47" t="str">
        <x:f>IF('SME-03'!F19="","",'SME-03'!F19)</x:f>
      </x:c>
      <x:c r="I40" s="47" t="str">
        <x:f>IF('SME-03'!O19="","",'SME-03'!O19)</x:f>
      </x:c>
      <x:c r="J40" s="47" t="str">
        <x:f>IF('SME-03'!H2="","",'SME-03'!H2)</x:f>
      </x:c>
    </x:row>
    <x:row r="41" ht="42" customHeight="1">
      <x:c r="A41" s="47" t="str">
        <x:v>SME-04</x:v>
      </x:c>
      <x:c r="B41" s="47" t="str">
        <x:f>'SME-04'!A8</x:f>
        <x:v>Q01</x:v>
      </x:c>
      <x:c r="C41" s="47" t="str">
        <x:f>'SME-04'!B8</x:f>
        <x:v>AI use context</x:v>
      </x:c>
      <x:c r="D41" s="47" t="str">
        <x:f>IF(ISNUMBER('SME-04'!M8),'SME-04'!M8,IF('SME-04'!M8="","",'SME-04'!M8))</x:f>
      </x:c>
      <x:c r="E41" s="47" t="n">
        <x:f>IF(ISNUMBER(D41),1,0)</x:f>
        <x:v>0</x:v>
      </x:c>
      <x:c r="F41" s="47" t="str">
        <x:f>IF('SME-04'!K8="","",'SME-04'!K8)</x:f>
      </x:c>
      <x:c r="G41" s="47" t="str">
        <x:f>IF('SME-04'!L8="","",'SME-04'!L8)</x:f>
      </x:c>
      <x:c r="H41" s="47" t="str">
        <x:f>IF('SME-04'!F8="","",'SME-04'!F8)</x:f>
      </x:c>
      <x:c r="I41" s="47" t="str">
        <x:f>IF('SME-04'!O8="","",'SME-04'!O8)</x:f>
      </x:c>
      <x:c r="J41" s="47" t="str">
        <x:f>IF('SME-04'!H2="","",'SME-04'!H2)</x:f>
      </x:c>
    </x:row>
    <x:row r="42" ht="42" customHeight="1">
      <x:c r="A42" s="47" t="str">
        <x:v>SME-04</x:v>
      </x:c>
      <x:c r="B42" s="47" t="str">
        <x:f>'SME-04'!A9</x:f>
        <x:v>Q02</x:v>
      </x:c>
      <x:c r="C42" s="47" t="str">
        <x:f>'SME-04'!B9</x:f>
        <x:v>Accountability and governance</x:v>
      </x:c>
      <x:c r="D42" s="47" t="str">
        <x:f>IF(ISNUMBER('SME-04'!M9),'SME-04'!M9,IF('SME-04'!M9="","",'SME-04'!M9))</x:f>
      </x:c>
      <x:c r="E42" s="47" t="n">
        <x:f>IF(ISNUMBER(D42),1,0)</x:f>
        <x:v>0</x:v>
      </x:c>
      <x:c r="F42" s="47" t="str">
        <x:f>IF('SME-04'!K9="","",'SME-04'!K9)</x:f>
      </x:c>
      <x:c r="G42" s="47" t="str">
        <x:f>IF('SME-04'!L9="","",'SME-04'!L9)</x:f>
      </x:c>
      <x:c r="H42" s="47" t="str">
        <x:f>IF('SME-04'!F9="","",'SME-04'!F9)</x:f>
      </x:c>
      <x:c r="I42" s="47" t="str">
        <x:f>IF('SME-04'!O9="","",'SME-04'!O9)</x:f>
      </x:c>
      <x:c r="J42" s="47" t="str">
        <x:f>IF('SME-04'!H2="","",'SME-04'!H2)</x:f>
      </x:c>
    </x:row>
    <x:row r="43" ht="42" customHeight="1">
      <x:c r="A43" s="47" t="str">
        <x:v>SME-04</x:v>
      </x:c>
      <x:c r="B43" s="47" t="str">
        <x:f>'SME-04'!A10</x:f>
        <x:v>Q03</x:v>
      </x:c>
      <x:c r="C43" s="47" t="str">
        <x:f>'SME-04'!B10</x:f>
        <x:v>Accountability and governance</x:v>
      </x:c>
      <x:c r="D43" s="47" t="str">
        <x:f>IF(ISNUMBER('SME-04'!M10),'SME-04'!M10,IF('SME-04'!M10="","",'SME-04'!M10))</x:f>
      </x:c>
      <x:c r="E43" s="47" t="n">
        <x:f>IF(ISNUMBER(D43),1,0)</x:f>
        <x:v>0</x:v>
      </x:c>
      <x:c r="F43" s="47" t="str">
        <x:f>IF('SME-04'!K10="","",'SME-04'!K10)</x:f>
      </x:c>
      <x:c r="G43" s="47" t="str">
        <x:f>IF('SME-04'!L10="","",'SME-04'!L10)</x:f>
      </x:c>
      <x:c r="H43" s="47" t="str">
        <x:f>IF('SME-04'!F10="","",'SME-04'!F10)</x:f>
      </x:c>
      <x:c r="I43" s="47" t="str">
        <x:f>IF('SME-04'!O10="","",'SME-04'!O10)</x:f>
      </x:c>
      <x:c r="J43" s="47" t="str">
        <x:f>IF('SME-04'!H2="","",'SME-04'!H2)</x:f>
      </x:c>
    </x:row>
    <x:row r="44" ht="42" customHeight="1">
      <x:c r="A44" s="47" t="str">
        <x:v>SME-04</x:v>
      </x:c>
      <x:c r="B44" s="47" t="str">
        <x:f>'SME-04'!A11</x:f>
        <x:v>Q04</x:v>
      </x:c>
      <x:c r="C44" s="47" t="str">
        <x:f>'SME-04'!B11</x:f>
        <x:v>Data protection</x:v>
      </x:c>
      <x:c r="D44" s="47" t="str">
        <x:f>IF(ISNUMBER('SME-04'!M11),'SME-04'!M11,IF('SME-04'!M11="","",'SME-04'!M11))</x:f>
      </x:c>
      <x:c r="E44" s="47" t="n">
        <x:f>IF(ISNUMBER(D44),1,0)</x:f>
        <x:v>0</x:v>
      </x:c>
      <x:c r="F44" s="47" t="str">
        <x:f>IF('SME-04'!K11="","",'SME-04'!K11)</x:f>
      </x:c>
      <x:c r="G44" s="47" t="str">
        <x:f>IF('SME-04'!L11="","",'SME-04'!L11)</x:f>
      </x:c>
      <x:c r="H44" s="47" t="str">
        <x:f>IF('SME-04'!F11="","",'SME-04'!F11)</x:f>
      </x:c>
      <x:c r="I44" s="47" t="str">
        <x:f>IF('SME-04'!O11="","",'SME-04'!O11)</x:f>
      </x:c>
      <x:c r="J44" s="47" t="str">
        <x:f>IF('SME-04'!H2="","",'SME-04'!H2)</x:f>
      </x:c>
    </x:row>
    <x:row r="45" ht="42" customHeight="1">
      <x:c r="A45" s="47" t="str">
        <x:v>SME-04</x:v>
      </x:c>
      <x:c r="B45" s="47" t="str">
        <x:f>'SME-04'!A12</x:f>
        <x:v>Q05</x:v>
      </x:c>
      <x:c r="C45" s="47" t="str">
        <x:f>'SME-04'!B12</x:f>
        <x:v>Third-party management</x:v>
      </x:c>
      <x:c r="D45" s="47" t="str">
        <x:f>IF(ISNUMBER('SME-04'!M12),'SME-04'!M12,IF('SME-04'!M12="","",'SME-04'!M12))</x:f>
      </x:c>
      <x:c r="E45" s="47" t="n">
        <x:f>IF(ISNUMBER(D45),1,0)</x:f>
        <x:v>0</x:v>
      </x:c>
      <x:c r="F45" s="47" t="str">
        <x:f>IF('SME-04'!K12="","",'SME-04'!K12)</x:f>
      </x:c>
      <x:c r="G45" s="47" t="str">
        <x:f>IF('SME-04'!L12="","",'SME-04'!L12)</x:f>
      </x:c>
      <x:c r="H45" s="47" t="str">
        <x:f>IF('SME-04'!F12="","",'SME-04'!F12)</x:f>
      </x:c>
      <x:c r="I45" s="47" t="str">
        <x:f>IF('SME-04'!O12="","",'SME-04'!O12)</x:f>
      </x:c>
      <x:c r="J45" s="47" t="str">
        <x:f>IF('SME-04'!H2="","",'SME-04'!H2)</x:f>
      </x:c>
    </x:row>
    <x:row r="46" ht="42" customHeight="1">
      <x:c r="A46" s="47" t="str">
        <x:v>SME-04</x:v>
      </x:c>
      <x:c r="B46" s="47" t="str">
        <x:f>'SME-04'!A13</x:f>
        <x:v>Q06</x:v>
      </x:c>
      <x:c r="C46" s="47" t="str">
        <x:f>'SME-04'!B13</x:f>
        <x:v>Access and integration security</x:v>
      </x:c>
      <x:c r="D46" s="47" t="str">
        <x:f>IF(ISNUMBER('SME-04'!M13),'SME-04'!M13,IF('SME-04'!M13="","",'SME-04'!M13))</x:f>
      </x:c>
      <x:c r="E46" s="47" t="n">
        <x:f>IF(ISNUMBER(D46),1,0)</x:f>
        <x:v>0</x:v>
      </x:c>
      <x:c r="F46" s="47" t="str">
        <x:f>IF('SME-04'!K13="","",'SME-04'!K13)</x:f>
      </x:c>
      <x:c r="G46" s="47" t="str">
        <x:f>IF('SME-04'!L13="","",'SME-04'!L13)</x:f>
      </x:c>
      <x:c r="H46" s="47" t="str">
        <x:f>IF('SME-04'!F13="","",'SME-04'!F13)</x:f>
      </x:c>
      <x:c r="I46" s="47" t="str">
        <x:f>IF('SME-04'!O13="","",'SME-04'!O13)</x:f>
      </x:c>
      <x:c r="J46" s="47" t="str">
        <x:f>IF('SME-04'!H2="","",'SME-04'!H2)</x:f>
      </x:c>
    </x:row>
    <x:row r="47" ht="42" customHeight="1">
      <x:c r="A47" s="47" t="str">
        <x:v>SME-04</x:v>
      </x:c>
      <x:c r="B47" s="47" t="str">
        <x:f>'SME-04'!A14</x:f>
        <x:v>Q07</x:v>
      </x:c>
      <x:c r="C47" s="47" t="str">
        <x:f>'SME-04'!B14</x:f>
        <x:v>Human oversight</x:v>
      </x:c>
      <x:c r="D47" s="47" t="str">
        <x:f>IF(ISNUMBER('SME-04'!M14),'SME-04'!M14,IF('SME-04'!M14="","",'SME-04'!M14))</x:f>
      </x:c>
      <x:c r="E47" s="47" t="n">
        <x:f>IF(ISNUMBER(D47),1,0)</x:f>
        <x:v>0</x:v>
      </x:c>
      <x:c r="F47" s="47" t="str">
        <x:f>IF('SME-04'!K14="","",'SME-04'!K14)</x:f>
      </x:c>
      <x:c r="G47" s="47" t="str">
        <x:f>IF('SME-04'!L14="","",'SME-04'!L14)</x:f>
      </x:c>
      <x:c r="H47" s="47" t="str">
        <x:f>IF('SME-04'!F14="","",'SME-04'!F14)</x:f>
      </x:c>
      <x:c r="I47" s="47" t="str">
        <x:f>IF('SME-04'!O14="","",'SME-04'!O14)</x:f>
      </x:c>
      <x:c r="J47" s="47" t="str">
        <x:f>IF('SME-04'!H2="","",'SME-04'!H2)</x:f>
      </x:c>
    </x:row>
    <x:row r="48" ht="42" customHeight="1">
      <x:c r="A48" s="47" t="str">
        <x:v>SME-04</x:v>
      </x:c>
      <x:c r="B48" s="47" t="str">
        <x:f>'SME-04'!A15</x:f>
        <x:v>Q08</x:v>
      </x:c>
      <x:c r="C48" s="47" t="str">
        <x:f>'SME-04'!B15</x:f>
        <x:v>Testing and assurance</x:v>
      </x:c>
      <x:c r="D48" s="47" t="str">
        <x:f>IF(ISNUMBER('SME-04'!M15),'SME-04'!M15,IF('SME-04'!M15="","",'SME-04'!M15))</x:f>
      </x:c>
      <x:c r="E48" s="47" t="n">
        <x:f>IF(ISNUMBER(D48),1,0)</x:f>
        <x:v>0</x:v>
      </x:c>
      <x:c r="F48" s="47" t="str">
        <x:f>IF('SME-04'!K15="","",'SME-04'!K15)</x:f>
      </x:c>
      <x:c r="G48" s="47" t="str">
        <x:f>IF('SME-04'!L15="","",'SME-04'!L15)</x:f>
      </x:c>
      <x:c r="H48" s="47" t="str">
        <x:f>IF('SME-04'!F15="","",'SME-04'!F15)</x:f>
      </x:c>
      <x:c r="I48" s="47" t="str">
        <x:f>IF('SME-04'!O15="","",'SME-04'!O15)</x:f>
      </x:c>
      <x:c r="J48" s="47" t="str">
        <x:f>IF('SME-04'!H2="","",'SME-04'!H2)</x:f>
      </x:c>
    </x:row>
    <x:row r="49" ht="42" customHeight="1">
      <x:c r="A49" s="47" t="str">
        <x:v>SME-04</x:v>
      </x:c>
      <x:c r="B49" s="47" t="str">
        <x:f>'SME-04'!A16</x:f>
        <x:v>Q09</x:v>
      </x:c>
      <x:c r="C49" s="47" t="str">
        <x:f>'SME-04'!B16</x:f>
        <x:v>Monitoring and change</x:v>
      </x:c>
      <x:c r="D49" s="47" t="str">
        <x:f>IF(ISNUMBER('SME-04'!M16),'SME-04'!M16,IF('SME-04'!M16="","",'SME-04'!M16))</x:f>
      </x:c>
      <x:c r="E49" s="47" t="n">
        <x:f>IF(ISNUMBER(D49),1,0)</x:f>
        <x:v>0</x:v>
      </x:c>
      <x:c r="F49" s="47" t="str">
        <x:f>IF('SME-04'!K16="","",'SME-04'!K16)</x:f>
      </x:c>
      <x:c r="G49" s="47" t="str">
        <x:f>IF('SME-04'!L16="","",'SME-04'!L16)</x:f>
      </x:c>
      <x:c r="H49" s="47" t="str">
        <x:f>IF('SME-04'!F16="","",'SME-04'!F16)</x:f>
      </x:c>
      <x:c r="I49" s="47" t="str">
        <x:f>IF('SME-04'!O16="","",'SME-04'!O16)</x:f>
      </x:c>
      <x:c r="J49" s="47" t="str">
        <x:f>IF('SME-04'!H2="","",'SME-04'!H2)</x:f>
      </x:c>
    </x:row>
    <x:row r="50" ht="42" customHeight="1">
      <x:c r="A50" s="47" t="str">
        <x:v>SME-04</x:v>
      </x:c>
      <x:c r="B50" s="47" t="str">
        <x:f>'SME-04'!A17</x:f>
        <x:v>Q10</x:v>
      </x:c>
      <x:c r="C50" s="47" t="str">
        <x:f>'SME-04'!B17</x:f>
        <x:v>Incident response</x:v>
      </x:c>
      <x:c r="D50" s="47" t="str">
        <x:f>IF(ISNUMBER('SME-04'!M17),'SME-04'!M17,IF('SME-04'!M17="","",'SME-04'!M17))</x:f>
      </x:c>
      <x:c r="E50" s="47" t="n">
        <x:f>IF(ISNUMBER(D50),1,0)</x:f>
        <x:v>0</x:v>
      </x:c>
      <x:c r="F50" s="47" t="str">
        <x:f>IF('SME-04'!K17="","",'SME-04'!K17)</x:f>
      </x:c>
      <x:c r="G50" s="47" t="str">
        <x:f>IF('SME-04'!L17="","",'SME-04'!L17)</x:f>
      </x:c>
      <x:c r="H50" s="47" t="str">
        <x:f>IF('SME-04'!F17="","",'SME-04'!F17)</x:f>
      </x:c>
      <x:c r="I50" s="47" t="str">
        <x:f>IF('SME-04'!O17="","",'SME-04'!O17)</x:f>
      </x:c>
      <x:c r="J50" s="47" t="str">
        <x:f>IF('SME-04'!H2="","",'SME-04'!H2)</x:f>
      </x:c>
    </x:row>
    <x:row r="51" ht="42" customHeight="1">
      <x:c r="A51" s="47" t="str">
        <x:v>SME-04</x:v>
      </x:c>
      <x:c r="B51" s="47" t="str">
        <x:f>'SME-04'!A18</x:f>
        <x:v>Q11</x:v>
      </x:c>
      <x:c r="C51" s="47" t="str">
        <x:f>'SME-04'!B18</x:f>
        <x:v>People and policy</x:v>
      </x:c>
      <x:c r="D51" s="47" t="str">
        <x:f>IF(ISNUMBER('SME-04'!M18),'SME-04'!M18,IF('SME-04'!M18="","",'SME-04'!M18))</x:f>
      </x:c>
      <x:c r="E51" s="47" t="n">
        <x:f>IF(ISNUMBER(D51),1,0)</x:f>
        <x:v>0</x:v>
      </x:c>
      <x:c r="F51" s="47" t="str">
        <x:f>IF('SME-04'!K18="","",'SME-04'!K18)</x:f>
      </x:c>
      <x:c r="G51" s="47" t="str">
        <x:f>IF('SME-04'!L18="","",'SME-04'!L18)</x:f>
      </x:c>
      <x:c r="H51" s="47" t="str">
        <x:f>IF('SME-04'!F18="","",'SME-04'!F18)</x:f>
      </x:c>
      <x:c r="I51" s="47" t="str">
        <x:f>IF('SME-04'!O18="","",'SME-04'!O18)</x:f>
      </x:c>
      <x:c r="J51" s="47" t="str">
        <x:f>IF('SME-04'!H2="","",'SME-04'!H2)</x:f>
      </x:c>
    </x:row>
    <x:row r="52" ht="42" customHeight="1">
      <x:c r="A52" s="47" t="str">
        <x:v>SME-04</x:v>
      </x:c>
      <x:c r="B52" s="47" t="str">
        <x:f>'SME-04'!A19</x:f>
        <x:v>Q12</x:v>
      </x:c>
      <x:c r="C52" s="47" t="str">
        <x:f>'SME-04'!B19</x:f>
        <x:v>Barriers and support</x:v>
      </x:c>
      <x:c r="D52" s="47" t="str">
        <x:f>IF(ISNUMBER('SME-04'!M19),'SME-04'!M19,IF('SME-04'!M19="","",'SME-04'!M19))</x:f>
        <x:v>N/A</x:v>
      </x:c>
      <x:c r="E52" s="47" t="n">
        <x:f>IF(ISNUMBER(D52),1,0)</x:f>
        <x:v>0</x:v>
      </x:c>
      <x:c r="F52" s="47" t="str">
        <x:f>IF('SME-04'!K19="","",'SME-04'!K19)</x:f>
      </x:c>
      <x:c r="G52" s="47" t="str">
        <x:f>IF('SME-04'!L19="","",'SME-04'!L19)</x:f>
      </x:c>
      <x:c r="H52" s="47" t="str">
        <x:f>IF('SME-04'!F19="","",'SME-04'!F19)</x:f>
      </x:c>
      <x:c r="I52" s="47" t="str">
        <x:f>IF('SME-04'!O19="","",'SME-04'!O19)</x:f>
      </x:c>
      <x:c r="J52" s="47" t="str">
        <x:f>IF('SME-04'!H2="","",'SME-04'!H2)</x:f>
      </x:c>
    </x:row>
    <x:row r="53" ht="42" customHeight="1">
      <x:c r="A53" s="47" t="str">
        <x:v>SME-05</x:v>
      </x:c>
      <x:c r="B53" s="47" t="str">
        <x:f>'SME-05'!A8</x:f>
        <x:v>Q01</x:v>
      </x:c>
      <x:c r="C53" s="47" t="str">
        <x:f>'SME-05'!B8</x:f>
        <x:v>AI use context</x:v>
      </x:c>
      <x:c r="D53" s="47" t="str">
        <x:f>IF(ISNUMBER('SME-05'!M8),'SME-05'!M8,IF('SME-05'!M8="","",'SME-05'!M8))</x:f>
      </x:c>
      <x:c r="E53" s="47" t="n">
        <x:f>IF(ISNUMBER(D53),1,0)</x:f>
        <x:v>0</x:v>
      </x:c>
      <x:c r="F53" s="47" t="str">
        <x:f>IF('SME-05'!K8="","",'SME-05'!K8)</x:f>
      </x:c>
      <x:c r="G53" s="47" t="str">
        <x:f>IF('SME-05'!L8="","",'SME-05'!L8)</x:f>
      </x:c>
      <x:c r="H53" s="47" t="str">
        <x:f>IF('SME-05'!F8="","",'SME-05'!F8)</x:f>
      </x:c>
      <x:c r="I53" s="47" t="str">
        <x:f>IF('SME-05'!O8="","",'SME-05'!O8)</x:f>
      </x:c>
      <x:c r="J53" s="47" t="str">
        <x:f>IF('SME-05'!H2="","",'SME-05'!H2)</x:f>
      </x:c>
    </x:row>
    <x:row r="54" ht="42" customHeight="1">
      <x:c r="A54" s="47" t="str">
        <x:v>SME-05</x:v>
      </x:c>
      <x:c r="B54" s="47" t="str">
        <x:f>'SME-05'!A9</x:f>
        <x:v>Q02</x:v>
      </x:c>
      <x:c r="C54" s="47" t="str">
        <x:f>'SME-05'!B9</x:f>
        <x:v>Accountability and governance</x:v>
      </x:c>
      <x:c r="D54" s="47" t="str">
        <x:f>IF(ISNUMBER('SME-05'!M9),'SME-05'!M9,IF('SME-05'!M9="","",'SME-05'!M9))</x:f>
      </x:c>
      <x:c r="E54" s="47" t="n">
        <x:f>IF(ISNUMBER(D54),1,0)</x:f>
        <x:v>0</x:v>
      </x:c>
      <x:c r="F54" s="47" t="str">
        <x:f>IF('SME-05'!K9="","",'SME-05'!K9)</x:f>
      </x:c>
      <x:c r="G54" s="47" t="str">
        <x:f>IF('SME-05'!L9="","",'SME-05'!L9)</x:f>
      </x:c>
      <x:c r="H54" s="47" t="str">
        <x:f>IF('SME-05'!F9="","",'SME-05'!F9)</x:f>
      </x:c>
      <x:c r="I54" s="47" t="str">
        <x:f>IF('SME-05'!O9="","",'SME-05'!O9)</x:f>
      </x:c>
      <x:c r="J54" s="47" t="str">
        <x:f>IF('SME-05'!H2="","",'SME-05'!H2)</x:f>
      </x:c>
    </x:row>
    <x:row r="55" ht="42" customHeight="1">
      <x:c r="A55" s="47" t="str">
        <x:v>SME-05</x:v>
      </x:c>
      <x:c r="B55" s="47" t="str">
        <x:f>'SME-05'!A10</x:f>
        <x:v>Q03</x:v>
      </x:c>
      <x:c r="C55" s="47" t="str">
        <x:f>'SME-05'!B10</x:f>
        <x:v>Accountability and governance</x:v>
      </x:c>
      <x:c r="D55" s="47" t="str">
        <x:f>IF(ISNUMBER('SME-05'!M10),'SME-05'!M10,IF('SME-05'!M10="","",'SME-05'!M10))</x:f>
      </x:c>
      <x:c r="E55" s="47" t="n">
        <x:f>IF(ISNUMBER(D55),1,0)</x:f>
        <x:v>0</x:v>
      </x:c>
      <x:c r="F55" s="47" t="str">
        <x:f>IF('SME-05'!K10="","",'SME-05'!K10)</x:f>
      </x:c>
      <x:c r="G55" s="47" t="str">
        <x:f>IF('SME-05'!L10="","",'SME-05'!L10)</x:f>
      </x:c>
      <x:c r="H55" s="47" t="str">
        <x:f>IF('SME-05'!F10="","",'SME-05'!F10)</x:f>
      </x:c>
      <x:c r="I55" s="47" t="str">
        <x:f>IF('SME-05'!O10="","",'SME-05'!O10)</x:f>
      </x:c>
      <x:c r="J55" s="47" t="str">
        <x:f>IF('SME-05'!H2="","",'SME-05'!H2)</x:f>
      </x:c>
    </x:row>
    <x:row r="56" ht="42" customHeight="1">
      <x:c r="A56" s="47" t="str">
        <x:v>SME-05</x:v>
      </x:c>
      <x:c r="B56" s="47" t="str">
        <x:f>'SME-05'!A11</x:f>
        <x:v>Q04</x:v>
      </x:c>
      <x:c r="C56" s="47" t="str">
        <x:f>'SME-05'!B11</x:f>
        <x:v>Data protection</x:v>
      </x:c>
      <x:c r="D56" s="47" t="str">
        <x:f>IF(ISNUMBER('SME-05'!M11),'SME-05'!M11,IF('SME-05'!M11="","",'SME-05'!M11))</x:f>
      </x:c>
      <x:c r="E56" s="47" t="n">
        <x:f>IF(ISNUMBER(D56),1,0)</x:f>
        <x:v>0</x:v>
      </x:c>
      <x:c r="F56" s="47" t="str">
        <x:f>IF('SME-05'!K11="","",'SME-05'!K11)</x:f>
      </x:c>
      <x:c r="G56" s="47" t="str">
        <x:f>IF('SME-05'!L11="","",'SME-05'!L11)</x:f>
      </x:c>
      <x:c r="H56" s="47" t="str">
        <x:f>IF('SME-05'!F11="","",'SME-05'!F11)</x:f>
      </x:c>
      <x:c r="I56" s="47" t="str">
        <x:f>IF('SME-05'!O11="","",'SME-05'!O11)</x:f>
      </x:c>
      <x:c r="J56" s="47" t="str">
        <x:f>IF('SME-05'!H2="","",'SME-05'!H2)</x:f>
      </x:c>
    </x:row>
    <x:row r="57" ht="42" customHeight="1">
      <x:c r="A57" s="47" t="str">
        <x:v>SME-05</x:v>
      </x:c>
      <x:c r="B57" s="47" t="str">
        <x:f>'SME-05'!A12</x:f>
        <x:v>Q05</x:v>
      </x:c>
      <x:c r="C57" s="47" t="str">
        <x:f>'SME-05'!B12</x:f>
        <x:v>Third-party management</x:v>
      </x:c>
      <x:c r="D57" s="47" t="str">
        <x:f>IF(ISNUMBER('SME-05'!M12),'SME-05'!M12,IF('SME-05'!M12="","",'SME-05'!M12))</x:f>
      </x:c>
      <x:c r="E57" s="47" t="n">
        <x:f>IF(ISNUMBER(D57),1,0)</x:f>
        <x:v>0</x:v>
      </x:c>
      <x:c r="F57" s="47" t="str">
        <x:f>IF('SME-05'!K12="","",'SME-05'!K12)</x:f>
      </x:c>
      <x:c r="G57" s="47" t="str">
        <x:f>IF('SME-05'!L12="","",'SME-05'!L12)</x:f>
      </x:c>
      <x:c r="H57" s="47" t="str">
        <x:f>IF('SME-05'!F12="","",'SME-05'!F12)</x:f>
      </x:c>
      <x:c r="I57" s="47" t="str">
        <x:f>IF('SME-05'!O12="","",'SME-05'!O12)</x:f>
      </x:c>
      <x:c r="J57" s="47" t="str">
        <x:f>IF('SME-05'!H2="","",'SME-05'!H2)</x:f>
      </x:c>
    </x:row>
    <x:row r="58" ht="42" customHeight="1">
      <x:c r="A58" s="47" t="str">
        <x:v>SME-05</x:v>
      </x:c>
      <x:c r="B58" s="47" t="str">
        <x:f>'SME-05'!A13</x:f>
        <x:v>Q06</x:v>
      </x:c>
      <x:c r="C58" s="47" t="str">
        <x:f>'SME-05'!B13</x:f>
        <x:v>Access and integration security</x:v>
      </x:c>
      <x:c r="D58" s="47" t="str">
        <x:f>IF(ISNUMBER('SME-05'!M13),'SME-05'!M13,IF('SME-05'!M13="","",'SME-05'!M13))</x:f>
      </x:c>
      <x:c r="E58" s="47" t="n">
        <x:f>IF(ISNUMBER(D58),1,0)</x:f>
        <x:v>0</x:v>
      </x:c>
      <x:c r="F58" s="47" t="str">
        <x:f>IF('SME-05'!K13="","",'SME-05'!K13)</x:f>
      </x:c>
      <x:c r="G58" s="47" t="str">
        <x:f>IF('SME-05'!L13="","",'SME-05'!L13)</x:f>
      </x:c>
      <x:c r="H58" s="47" t="str">
        <x:f>IF('SME-05'!F13="","",'SME-05'!F13)</x:f>
      </x:c>
      <x:c r="I58" s="47" t="str">
        <x:f>IF('SME-05'!O13="","",'SME-05'!O13)</x:f>
      </x:c>
      <x:c r="J58" s="47" t="str">
        <x:f>IF('SME-05'!H2="","",'SME-05'!H2)</x:f>
      </x:c>
    </x:row>
    <x:row r="59" ht="42" customHeight="1">
      <x:c r="A59" s="47" t="str">
        <x:v>SME-05</x:v>
      </x:c>
      <x:c r="B59" s="47" t="str">
        <x:f>'SME-05'!A14</x:f>
        <x:v>Q07</x:v>
      </x:c>
      <x:c r="C59" s="47" t="str">
        <x:f>'SME-05'!B14</x:f>
        <x:v>Human oversight</x:v>
      </x:c>
      <x:c r="D59" s="47" t="str">
        <x:f>IF(ISNUMBER('SME-05'!M14),'SME-05'!M14,IF('SME-05'!M14="","",'SME-05'!M14))</x:f>
      </x:c>
      <x:c r="E59" s="47" t="n">
        <x:f>IF(ISNUMBER(D59),1,0)</x:f>
        <x:v>0</x:v>
      </x:c>
      <x:c r="F59" s="47" t="str">
        <x:f>IF('SME-05'!K14="","",'SME-05'!K14)</x:f>
      </x:c>
      <x:c r="G59" s="47" t="str">
        <x:f>IF('SME-05'!L14="","",'SME-05'!L14)</x:f>
      </x:c>
      <x:c r="H59" s="47" t="str">
        <x:f>IF('SME-05'!F14="","",'SME-05'!F14)</x:f>
      </x:c>
      <x:c r="I59" s="47" t="str">
        <x:f>IF('SME-05'!O14="","",'SME-05'!O14)</x:f>
      </x:c>
      <x:c r="J59" s="47" t="str">
        <x:f>IF('SME-05'!H2="","",'SME-05'!H2)</x:f>
      </x:c>
    </x:row>
    <x:row r="60" ht="42" customHeight="1">
      <x:c r="A60" s="47" t="str">
        <x:v>SME-05</x:v>
      </x:c>
      <x:c r="B60" s="47" t="str">
        <x:f>'SME-05'!A15</x:f>
        <x:v>Q08</x:v>
      </x:c>
      <x:c r="C60" s="47" t="str">
        <x:f>'SME-05'!B15</x:f>
        <x:v>Testing and assurance</x:v>
      </x:c>
      <x:c r="D60" s="47" t="str">
        <x:f>IF(ISNUMBER('SME-05'!M15),'SME-05'!M15,IF('SME-05'!M15="","",'SME-05'!M15))</x:f>
      </x:c>
      <x:c r="E60" s="47" t="n">
        <x:f>IF(ISNUMBER(D60),1,0)</x:f>
        <x:v>0</x:v>
      </x:c>
      <x:c r="F60" s="47" t="str">
        <x:f>IF('SME-05'!K15="","",'SME-05'!K15)</x:f>
      </x:c>
      <x:c r="G60" s="47" t="str">
        <x:f>IF('SME-05'!L15="","",'SME-05'!L15)</x:f>
      </x:c>
      <x:c r="H60" s="47" t="str">
        <x:f>IF('SME-05'!F15="","",'SME-05'!F15)</x:f>
      </x:c>
      <x:c r="I60" s="47" t="str">
        <x:f>IF('SME-05'!O15="","",'SME-05'!O15)</x:f>
      </x:c>
      <x:c r="J60" s="47" t="str">
        <x:f>IF('SME-05'!H2="","",'SME-05'!H2)</x:f>
      </x:c>
    </x:row>
    <x:row r="61" ht="42" customHeight="1">
      <x:c r="A61" s="47" t="str">
        <x:v>SME-05</x:v>
      </x:c>
      <x:c r="B61" s="47" t="str">
        <x:f>'SME-05'!A16</x:f>
        <x:v>Q09</x:v>
      </x:c>
      <x:c r="C61" s="47" t="str">
        <x:f>'SME-05'!B16</x:f>
        <x:v>Monitoring and change</x:v>
      </x:c>
      <x:c r="D61" s="47" t="str">
        <x:f>IF(ISNUMBER('SME-05'!M16),'SME-05'!M16,IF('SME-05'!M16="","",'SME-05'!M16))</x:f>
      </x:c>
      <x:c r="E61" s="47" t="n">
        <x:f>IF(ISNUMBER(D61),1,0)</x:f>
        <x:v>0</x:v>
      </x:c>
      <x:c r="F61" s="47" t="str">
        <x:f>IF('SME-05'!K16="","",'SME-05'!K16)</x:f>
      </x:c>
      <x:c r="G61" s="47" t="str">
        <x:f>IF('SME-05'!L16="","",'SME-05'!L16)</x:f>
      </x:c>
      <x:c r="H61" s="47" t="str">
        <x:f>IF('SME-05'!F16="","",'SME-05'!F16)</x:f>
      </x:c>
      <x:c r="I61" s="47" t="str">
        <x:f>IF('SME-05'!O16="","",'SME-05'!O16)</x:f>
      </x:c>
      <x:c r="J61" s="47" t="str">
        <x:f>IF('SME-05'!H2="","",'SME-05'!H2)</x:f>
      </x:c>
    </x:row>
    <x:row r="62" ht="42" customHeight="1">
      <x:c r="A62" s="47" t="str">
        <x:v>SME-05</x:v>
      </x:c>
      <x:c r="B62" s="47" t="str">
        <x:f>'SME-05'!A17</x:f>
        <x:v>Q10</x:v>
      </x:c>
      <x:c r="C62" s="47" t="str">
        <x:f>'SME-05'!B17</x:f>
        <x:v>Incident response</x:v>
      </x:c>
      <x:c r="D62" s="47" t="str">
        <x:f>IF(ISNUMBER('SME-05'!M17),'SME-05'!M17,IF('SME-05'!M17="","",'SME-05'!M17))</x:f>
      </x:c>
      <x:c r="E62" s="47" t="n">
        <x:f>IF(ISNUMBER(D62),1,0)</x:f>
        <x:v>0</x:v>
      </x:c>
      <x:c r="F62" s="47" t="str">
        <x:f>IF('SME-05'!K17="","",'SME-05'!K17)</x:f>
      </x:c>
      <x:c r="G62" s="47" t="str">
        <x:f>IF('SME-05'!L17="","",'SME-05'!L17)</x:f>
      </x:c>
      <x:c r="H62" s="47" t="str">
        <x:f>IF('SME-05'!F17="","",'SME-05'!F17)</x:f>
      </x:c>
      <x:c r="I62" s="47" t="str">
        <x:f>IF('SME-05'!O17="","",'SME-05'!O17)</x:f>
      </x:c>
      <x:c r="J62" s="47" t="str">
        <x:f>IF('SME-05'!H2="","",'SME-05'!H2)</x:f>
      </x:c>
    </x:row>
    <x:row r="63" ht="42" customHeight="1">
      <x:c r="A63" s="47" t="str">
        <x:v>SME-05</x:v>
      </x:c>
      <x:c r="B63" s="47" t="str">
        <x:f>'SME-05'!A18</x:f>
        <x:v>Q11</x:v>
      </x:c>
      <x:c r="C63" s="47" t="str">
        <x:f>'SME-05'!B18</x:f>
        <x:v>People and policy</x:v>
      </x:c>
      <x:c r="D63" s="47" t="str">
        <x:f>IF(ISNUMBER('SME-05'!M18),'SME-05'!M18,IF('SME-05'!M18="","",'SME-05'!M18))</x:f>
      </x:c>
      <x:c r="E63" s="47" t="n">
        <x:f>IF(ISNUMBER(D63),1,0)</x:f>
        <x:v>0</x:v>
      </x:c>
      <x:c r="F63" s="47" t="str">
        <x:f>IF('SME-05'!K18="","",'SME-05'!K18)</x:f>
      </x:c>
      <x:c r="G63" s="47" t="str">
        <x:f>IF('SME-05'!L18="","",'SME-05'!L18)</x:f>
      </x:c>
      <x:c r="H63" s="47" t="str">
        <x:f>IF('SME-05'!F18="","",'SME-05'!F18)</x:f>
      </x:c>
      <x:c r="I63" s="47" t="str">
        <x:f>IF('SME-05'!O18="","",'SME-05'!O18)</x:f>
      </x:c>
      <x:c r="J63" s="47" t="str">
        <x:f>IF('SME-05'!H2="","",'SME-05'!H2)</x:f>
      </x:c>
    </x:row>
    <x:row r="64" ht="42" customHeight="1">
      <x:c r="A64" s="47" t="str">
        <x:v>SME-05</x:v>
      </x:c>
      <x:c r="B64" s="47" t="str">
        <x:f>'SME-05'!A19</x:f>
        <x:v>Q12</x:v>
      </x:c>
      <x:c r="C64" s="47" t="str">
        <x:f>'SME-05'!B19</x:f>
        <x:v>Barriers and support</x:v>
      </x:c>
      <x:c r="D64" s="47" t="str">
        <x:f>IF(ISNUMBER('SME-05'!M19),'SME-05'!M19,IF('SME-05'!M19="","",'SME-05'!M19))</x:f>
        <x:v>N/A</x:v>
      </x:c>
      <x:c r="E64" s="47" t="n">
        <x:f>IF(ISNUMBER(D64),1,0)</x:f>
        <x:v>0</x:v>
      </x:c>
      <x:c r="F64" s="47" t="str">
        <x:f>IF('SME-05'!K19="","",'SME-05'!K19)</x:f>
      </x:c>
      <x:c r="G64" s="47" t="str">
        <x:f>IF('SME-05'!L19="","",'SME-05'!L19)</x:f>
      </x:c>
      <x:c r="H64" s="47" t="str">
        <x:f>IF('SME-05'!F19="","",'SME-05'!F19)</x:f>
      </x:c>
      <x:c r="I64" s="47" t="str">
        <x:f>IF('SME-05'!O19="","",'SME-05'!O19)</x:f>
      </x:c>
      <x:c r="J64" s="47" t="str">
        <x:f>IF('SME-05'!H2="","",'SME-05'!H2)</x:f>
      </x:c>
    </x:row>
    <x:row r="65" ht="42" customHeight="1">
      <x:c r="A65" s="47" t="str">
        <x:v>SME-06</x:v>
      </x:c>
      <x:c r="B65" s="47" t="str">
        <x:f>'SME-06'!A8</x:f>
        <x:v>Q01</x:v>
      </x:c>
      <x:c r="C65" s="47" t="str">
        <x:f>'SME-06'!B8</x:f>
        <x:v>AI use context</x:v>
      </x:c>
      <x:c r="D65" s="47" t="str">
        <x:f>IF(ISNUMBER('SME-06'!M8),'SME-06'!M8,IF('SME-06'!M8="","",'SME-06'!M8))</x:f>
      </x:c>
      <x:c r="E65" s="47" t="n">
        <x:f>IF(ISNUMBER(D65),1,0)</x:f>
        <x:v>0</x:v>
      </x:c>
      <x:c r="F65" s="47" t="str">
        <x:f>IF('SME-06'!K8="","",'SME-06'!K8)</x:f>
      </x:c>
      <x:c r="G65" s="47" t="str">
        <x:f>IF('SME-06'!L8="","",'SME-06'!L8)</x:f>
      </x:c>
      <x:c r="H65" s="47" t="str">
        <x:f>IF('SME-06'!F8="","",'SME-06'!F8)</x:f>
      </x:c>
      <x:c r="I65" s="47" t="str">
        <x:f>IF('SME-06'!O8="","",'SME-06'!O8)</x:f>
      </x:c>
      <x:c r="J65" s="47" t="str">
        <x:f>IF('SME-06'!H2="","",'SME-06'!H2)</x:f>
      </x:c>
    </x:row>
    <x:row r="66" ht="42" customHeight="1">
      <x:c r="A66" s="47" t="str">
        <x:v>SME-06</x:v>
      </x:c>
      <x:c r="B66" s="47" t="str">
        <x:f>'SME-06'!A9</x:f>
        <x:v>Q02</x:v>
      </x:c>
      <x:c r="C66" s="47" t="str">
        <x:f>'SME-06'!B9</x:f>
        <x:v>Accountability and governance</x:v>
      </x:c>
      <x:c r="D66" s="47" t="str">
        <x:f>IF(ISNUMBER('SME-06'!M9),'SME-06'!M9,IF('SME-06'!M9="","",'SME-06'!M9))</x:f>
      </x:c>
      <x:c r="E66" s="47" t="n">
        <x:f>IF(ISNUMBER(D66),1,0)</x:f>
        <x:v>0</x:v>
      </x:c>
      <x:c r="F66" s="47" t="str">
        <x:f>IF('SME-06'!K9="","",'SME-06'!K9)</x:f>
      </x:c>
      <x:c r="G66" s="47" t="str">
        <x:f>IF('SME-06'!L9="","",'SME-06'!L9)</x:f>
      </x:c>
      <x:c r="H66" s="47" t="str">
        <x:f>IF('SME-06'!F9="","",'SME-06'!F9)</x:f>
      </x:c>
      <x:c r="I66" s="47" t="str">
        <x:f>IF('SME-06'!O9="","",'SME-06'!O9)</x:f>
      </x:c>
      <x:c r="J66" s="47" t="str">
        <x:f>IF('SME-06'!H2="","",'SME-06'!H2)</x:f>
      </x:c>
    </x:row>
    <x:row r="67" ht="42" customHeight="1">
      <x:c r="A67" s="47" t="str">
        <x:v>SME-06</x:v>
      </x:c>
      <x:c r="B67" s="47" t="str">
        <x:f>'SME-06'!A10</x:f>
        <x:v>Q03</x:v>
      </x:c>
      <x:c r="C67" s="47" t="str">
        <x:f>'SME-06'!B10</x:f>
        <x:v>Accountability and governance</x:v>
      </x:c>
      <x:c r="D67" s="47" t="str">
        <x:f>IF(ISNUMBER('SME-06'!M10),'SME-06'!M10,IF('SME-06'!M10="","",'SME-06'!M10))</x:f>
      </x:c>
      <x:c r="E67" s="47" t="n">
        <x:f>IF(ISNUMBER(D67),1,0)</x:f>
        <x:v>0</x:v>
      </x:c>
      <x:c r="F67" s="47" t="str">
        <x:f>IF('SME-06'!K10="","",'SME-06'!K10)</x:f>
      </x:c>
      <x:c r="G67" s="47" t="str">
        <x:f>IF('SME-06'!L10="","",'SME-06'!L10)</x:f>
      </x:c>
      <x:c r="H67" s="47" t="str">
        <x:f>IF('SME-06'!F10="","",'SME-06'!F10)</x:f>
      </x:c>
      <x:c r="I67" s="47" t="str">
        <x:f>IF('SME-06'!O10="","",'SME-06'!O10)</x:f>
      </x:c>
      <x:c r="J67" s="47" t="str">
        <x:f>IF('SME-06'!H2="","",'SME-06'!H2)</x:f>
      </x:c>
    </x:row>
    <x:row r="68" ht="42" customHeight="1">
      <x:c r="A68" s="47" t="str">
        <x:v>SME-06</x:v>
      </x:c>
      <x:c r="B68" s="47" t="str">
        <x:f>'SME-06'!A11</x:f>
        <x:v>Q04</x:v>
      </x:c>
      <x:c r="C68" s="47" t="str">
        <x:f>'SME-06'!B11</x:f>
        <x:v>Data protection</x:v>
      </x:c>
      <x:c r="D68" s="47" t="str">
        <x:f>IF(ISNUMBER('SME-06'!M11),'SME-06'!M11,IF('SME-06'!M11="","",'SME-06'!M11))</x:f>
      </x:c>
      <x:c r="E68" s="47" t="n">
        <x:f>IF(ISNUMBER(D68),1,0)</x:f>
        <x:v>0</x:v>
      </x:c>
      <x:c r="F68" s="47" t="str">
        <x:f>IF('SME-06'!K11="","",'SME-06'!K11)</x:f>
      </x:c>
      <x:c r="G68" s="47" t="str">
        <x:f>IF('SME-06'!L11="","",'SME-06'!L11)</x:f>
      </x:c>
      <x:c r="H68" s="47" t="str">
        <x:f>IF('SME-06'!F11="","",'SME-06'!F11)</x:f>
      </x:c>
      <x:c r="I68" s="47" t="str">
        <x:f>IF('SME-06'!O11="","",'SME-06'!O11)</x:f>
      </x:c>
      <x:c r="J68" s="47" t="str">
        <x:f>IF('SME-06'!H2="","",'SME-06'!H2)</x:f>
      </x:c>
    </x:row>
    <x:row r="69" ht="42" customHeight="1">
      <x:c r="A69" s="47" t="str">
        <x:v>SME-06</x:v>
      </x:c>
      <x:c r="B69" s="47" t="str">
        <x:f>'SME-06'!A12</x:f>
        <x:v>Q05</x:v>
      </x:c>
      <x:c r="C69" s="47" t="str">
        <x:f>'SME-06'!B12</x:f>
        <x:v>Third-party management</x:v>
      </x:c>
      <x:c r="D69" s="47" t="str">
        <x:f>IF(ISNUMBER('SME-06'!M12),'SME-06'!M12,IF('SME-06'!M12="","",'SME-06'!M12))</x:f>
      </x:c>
      <x:c r="E69" s="47" t="n">
        <x:f>IF(ISNUMBER(D69),1,0)</x:f>
        <x:v>0</x:v>
      </x:c>
      <x:c r="F69" s="47" t="str">
        <x:f>IF('SME-06'!K12="","",'SME-06'!K12)</x:f>
      </x:c>
      <x:c r="G69" s="47" t="str">
        <x:f>IF('SME-06'!L12="","",'SME-06'!L12)</x:f>
      </x:c>
      <x:c r="H69" s="47" t="str">
        <x:f>IF('SME-06'!F12="","",'SME-06'!F12)</x:f>
      </x:c>
      <x:c r="I69" s="47" t="str">
        <x:f>IF('SME-06'!O12="","",'SME-06'!O12)</x:f>
      </x:c>
      <x:c r="J69" s="47" t="str">
        <x:f>IF('SME-06'!H2="","",'SME-06'!H2)</x:f>
      </x:c>
    </x:row>
    <x:row r="70" ht="42" customHeight="1">
      <x:c r="A70" s="47" t="str">
        <x:v>SME-06</x:v>
      </x:c>
      <x:c r="B70" s="47" t="str">
        <x:f>'SME-06'!A13</x:f>
        <x:v>Q06</x:v>
      </x:c>
      <x:c r="C70" s="47" t="str">
        <x:f>'SME-06'!B13</x:f>
        <x:v>Access and integration security</x:v>
      </x:c>
      <x:c r="D70" s="47" t="str">
        <x:f>IF(ISNUMBER('SME-06'!M13),'SME-06'!M13,IF('SME-06'!M13="","",'SME-06'!M13))</x:f>
      </x:c>
      <x:c r="E70" s="47" t="n">
        <x:f>IF(ISNUMBER(D70),1,0)</x:f>
        <x:v>0</x:v>
      </x:c>
      <x:c r="F70" s="47" t="str">
        <x:f>IF('SME-06'!K13="","",'SME-06'!K13)</x:f>
      </x:c>
      <x:c r="G70" s="47" t="str">
        <x:f>IF('SME-06'!L13="","",'SME-06'!L13)</x:f>
      </x:c>
      <x:c r="H70" s="47" t="str">
        <x:f>IF('SME-06'!F13="","",'SME-06'!F13)</x:f>
      </x:c>
      <x:c r="I70" s="47" t="str">
        <x:f>IF('SME-06'!O13="","",'SME-06'!O13)</x:f>
      </x:c>
      <x:c r="J70" s="47" t="str">
        <x:f>IF('SME-06'!H2="","",'SME-06'!H2)</x:f>
      </x:c>
    </x:row>
    <x:row r="71" ht="42" customHeight="1">
      <x:c r="A71" s="47" t="str">
        <x:v>SME-06</x:v>
      </x:c>
      <x:c r="B71" s="47" t="str">
        <x:f>'SME-06'!A14</x:f>
        <x:v>Q07</x:v>
      </x:c>
      <x:c r="C71" s="47" t="str">
        <x:f>'SME-06'!B14</x:f>
        <x:v>Human oversight</x:v>
      </x:c>
      <x:c r="D71" s="47" t="str">
        <x:f>IF(ISNUMBER('SME-06'!M14),'SME-06'!M14,IF('SME-06'!M14="","",'SME-06'!M14))</x:f>
      </x:c>
      <x:c r="E71" s="47" t="n">
        <x:f>IF(ISNUMBER(D71),1,0)</x:f>
        <x:v>0</x:v>
      </x:c>
      <x:c r="F71" s="47" t="str">
        <x:f>IF('SME-06'!K14="","",'SME-06'!K14)</x:f>
      </x:c>
      <x:c r="G71" s="47" t="str">
        <x:f>IF('SME-06'!L14="","",'SME-06'!L14)</x:f>
      </x:c>
      <x:c r="H71" s="47" t="str">
        <x:f>IF('SME-06'!F14="","",'SME-06'!F14)</x:f>
      </x:c>
      <x:c r="I71" s="47" t="str">
        <x:f>IF('SME-06'!O14="","",'SME-06'!O14)</x:f>
      </x:c>
      <x:c r="J71" s="47" t="str">
        <x:f>IF('SME-06'!H2="","",'SME-06'!H2)</x:f>
      </x:c>
    </x:row>
    <x:row r="72" ht="42" customHeight="1">
      <x:c r="A72" s="47" t="str">
        <x:v>SME-06</x:v>
      </x:c>
      <x:c r="B72" s="47" t="str">
        <x:f>'SME-06'!A15</x:f>
        <x:v>Q08</x:v>
      </x:c>
      <x:c r="C72" s="47" t="str">
        <x:f>'SME-06'!B15</x:f>
        <x:v>Testing and assurance</x:v>
      </x:c>
      <x:c r="D72" s="47" t="str">
        <x:f>IF(ISNUMBER('SME-06'!M15),'SME-06'!M15,IF('SME-06'!M15="","",'SME-06'!M15))</x:f>
      </x:c>
      <x:c r="E72" s="47" t="n">
        <x:f>IF(ISNUMBER(D72),1,0)</x:f>
        <x:v>0</x:v>
      </x:c>
      <x:c r="F72" s="47" t="str">
        <x:f>IF('SME-06'!K15="","",'SME-06'!K15)</x:f>
      </x:c>
      <x:c r="G72" s="47" t="str">
        <x:f>IF('SME-06'!L15="","",'SME-06'!L15)</x:f>
      </x:c>
      <x:c r="H72" s="47" t="str">
        <x:f>IF('SME-06'!F15="","",'SME-06'!F15)</x:f>
      </x:c>
      <x:c r="I72" s="47" t="str">
        <x:f>IF('SME-06'!O15="","",'SME-06'!O15)</x:f>
      </x:c>
      <x:c r="J72" s="47" t="str">
        <x:f>IF('SME-06'!H2="","",'SME-06'!H2)</x:f>
      </x:c>
    </x:row>
    <x:row r="73" ht="42" customHeight="1">
      <x:c r="A73" s="47" t="str">
        <x:v>SME-06</x:v>
      </x:c>
      <x:c r="B73" s="47" t="str">
        <x:f>'SME-06'!A16</x:f>
        <x:v>Q09</x:v>
      </x:c>
      <x:c r="C73" s="47" t="str">
        <x:f>'SME-06'!B16</x:f>
        <x:v>Monitoring and change</x:v>
      </x:c>
      <x:c r="D73" s="47" t="str">
        <x:f>IF(ISNUMBER('SME-06'!M16),'SME-06'!M16,IF('SME-06'!M16="","",'SME-06'!M16))</x:f>
      </x:c>
      <x:c r="E73" s="47" t="n">
        <x:f>IF(ISNUMBER(D73),1,0)</x:f>
        <x:v>0</x:v>
      </x:c>
      <x:c r="F73" s="47" t="str">
        <x:f>IF('SME-06'!K16="","",'SME-06'!K16)</x:f>
      </x:c>
      <x:c r="G73" s="47" t="str">
        <x:f>IF('SME-06'!L16="","",'SME-06'!L16)</x:f>
      </x:c>
      <x:c r="H73" s="47" t="str">
        <x:f>IF('SME-06'!F16="","",'SME-06'!F16)</x:f>
      </x:c>
      <x:c r="I73" s="47" t="str">
        <x:f>IF('SME-06'!O16="","",'SME-06'!O16)</x:f>
      </x:c>
      <x:c r="J73" s="47" t="str">
        <x:f>IF('SME-06'!H2="","",'SME-06'!H2)</x:f>
      </x:c>
    </x:row>
    <x:row r="74" ht="42" customHeight="1">
      <x:c r="A74" s="47" t="str">
        <x:v>SME-06</x:v>
      </x:c>
      <x:c r="B74" s="47" t="str">
        <x:f>'SME-06'!A17</x:f>
        <x:v>Q10</x:v>
      </x:c>
      <x:c r="C74" s="47" t="str">
        <x:f>'SME-06'!B17</x:f>
        <x:v>Incident response</x:v>
      </x:c>
      <x:c r="D74" s="47" t="str">
        <x:f>IF(ISNUMBER('SME-06'!M17),'SME-06'!M17,IF('SME-06'!M17="","",'SME-06'!M17))</x:f>
      </x:c>
      <x:c r="E74" s="47" t="n">
        <x:f>IF(ISNUMBER(D74),1,0)</x:f>
        <x:v>0</x:v>
      </x:c>
      <x:c r="F74" s="47" t="str">
        <x:f>IF('SME-06'!K17="","",'SME-06'!K17)</x:f>
      </x:c>
      <x:c r="G74" s="47" t="str">
        <x:f>IF('SME-06'!L17="","",'SME-06'!L17)</x:f>
      </x:c>
      <x:c r="H74" s="47" t="str">
        <x:f>IF('SME-06'!F17="","",'SME-06'!F17)</x:f>
      </x:c>
      <x:c r="I74" s="47" t="str">
        <x:f>IF('SME-06'!O17="","",'SME-06'!O17)</x:f>
      </x:c>
      <x:c r="J74" s="47" t="str">
        <x:f>IF('SME-06'!H2="","",'SME-06'!H2)</x:f>
      </x:c>
    </x:row>
    <x:row r="75" ht="42" customHeight="1">
      <x:c r="A75" s="47" t="str">
        <x:v>SME-06</x:v>
      </x:c>
      <x:c r="B75" s="47" t="str">
        <x:f>'SME-06'!A18</x:f>
        <x:v>Q11</x:v>
      </x:c>
      <x:c r="C75" s="47" t="str">
        <x:f>'SME-06'!B18</x:f>
        <x:v>People and policy</x:v>
      </x:c>
      <x:c r="D75" s="47" t="str">
        <x:f>IF(ISNUMBER('SME-06'!M18),'SME-06'!M18,IF('SME-06'!M18="","",'SME-06'!M18))</x:f>
      </x:c>
      <x:c r="E75" s="47" t="n">
        <x:f>IF(ISNUMBER(D75),1,0)</x:f>
        <x:v>0</x:v>
      </x:c>
      <x:c r="F75" s="47" t="str">
        <x:f>IF('SME-06'!K18="","",'SME-06'!K18)</x:f>
      </x:c>
      <x:c r="G75" s="47" t="str">
        <x:f>IF('SME-06'!L18="","",'SME-06'!L18)</x:f>
      </x:c>
      <x:c r="H75" s="47" t="str">
        <x:f>IF('SME-06'!F18="","",'SME-06'!F18)</x:f>
      </x:c>
      <x:c r="I75" s="47" t="str">
        <x:f>IF('SME-06'!O18="","",'SME-06'!O18)</x:f>
      </x:c>
      <x:c r="J75" s="47" t="str">
        <x:f>IF('SME-06'!H2="","",'SME-06'!H2)</x:f>
      </x:c>
    </x:row>
    <x:row r="76" ht="42" customHeight="1">
      <x:c r="A76" s="47" t="str">
        <x:v>SME-06</x:v>
      </x:c>
      <x:c r="B76" s="47" t="str">
        <x:f>'SME-06'!A19</x:f>
        <x:v>Q12</x:v>
      </x:c>
      <x:c r="C76" s="47" t="str">
        <x:f>'SME-06'!B19</x:f>
        <x:v>Barriers and support</x:v>
      </x:c>
      <x:c r="D76" s="47" t="str">
        <x:f>IF(ISNUMBER('SME-06'!M19),'SME-06'!M19,IF('SME-06'!M19="","",'SME-06'!M19))</x:f>
        <x:v>N/A</x:v>
      </x:c>
      <x:c r="E76" s="47" t="n">
        <x:f>IF(ISNUMBER(D76),1,0)</x:f>
        <x:v>0</x:v>
      </x:c>
      <x:c r="F76" s="47" t="str">
        <x:f>IF('SME-06'!K19="","",'SME-06'!K19)</x:f>
      </x:c>
      <x:c r="G76" s="47" t="str">
        <x:f>IF('SME-06'!L19="","",'SME-06'!L19)</x:f>
      </x:c>
      <x:c r="H76" s="47" t="str">
        <x:f>IF('SME-06'!F19="","",'SME-06'!F19)</x:f>
      </x:c>
      <x:c r="I76" s="47" t="str">
        <x:f>IF('SME-06'!O19="","",'SME-06'!O19)</x:f>
      </x:c>
      <x:c r="J76" s="47" t="str">
        <x:f>IF('SME-06'!H2="","",'SME-06'!H2)</x:f>
      </x:c>
    </x:row>
    <x:row r="77" ht="42" customHeight="1">
      <x:c r="A77" s="47" t="str">
        <x:v>SME-07</x:v>
      </x:c>
      <x:c r="B77" s="47" t="str">
        <x:f>'SME-07'!A8</x:f>
        <x:v>Q01</x:v>
      </x:c>
      <x:c r="C77" s="47" t="str">
        <x:f>'SME-07'!B8</x:f>
        <x:v>AI use context</x:v>
      </x:c>
      <x:c r="D77" s="47" t="str">
        <x:f>IF(ISNUMBER('SME-07'!M8),'SME-07'!M8,IF('SME-07'!M8="","",'SME-07'!M8))</x:f>
      </x:c>
      <x:c r="E77" s="47" t="n">
        <x:f>IF(ISNUMBER(D77),1,0)</x:f>
        <x:v>0</x:v>
      </x:c>
      <x:c r="F77" s="47" t="str">
        <x:f>IF('SME-07'!K8="","",'SME-07'!K8)</x:f>
      </x:c>
      <x:c r="G77" s="47" t="str">
        <x:f>IF('SME-07'!L8="","",'SME-07'!L8)</x:f>
      </x:c>
      <x:c r="H77" s="47" t="str">
        <x:f>IF('SME-07'!F8="","",'SME-07'!F8)</x:f>
      </x:c>
      <x:c r="I77" s="47" t="str">
        <x:f>IF('SME-07'!O8="","",'SME-07'!O8)</x:f>
      </x:c>
      <x:c r="J77" s="47" t="str">
        <x:f>IF('SME-07'!H2="","",'SME-07'!H2)</x:f>
      </x:c>
    </x:row>
    <x:row r="78" ht="42" customHeight="1">
      <x:c r="A78" s="47" t="str">
        <x:v>SME-07</x:v>
      </x:c>
      <x:c r="B78" s="47" t="str">
        <x:f>'SME-07'!A9</x:f>
        <x:v>Q02</x:v>
      </x:c>
      <x:c r="C78" s="47" t="str">
        <x:f>'SME-07'!B9</x:f>
        <x:v>Accountability and governance</x:v>
      </x:c>
      <x:c r="D78" s="47" t="str">
        <x:f>IF(ISNUMBER('SME-07'!M9),'SME-07'!M9,IF('SME-07'!M9="","",'SME-07'!M9))</x:f>
      </x:c>
      <x:c r="E78" s="47" t="n">
        <x:f>IF(ISNUMBER(D78),1,0)</x:f>
        <x:v>0</x:v>
      </x:c>
      <x:c r="F78" s="47" t="str">
        <x:f>IF('SME-07'!K9="","",'SME-07'!K9)</x:f>
      </x:c>
      <x:c r="G78" s="47" t="str">
        <x:f>IF('SME-07'!L9="","",'SME-07'!L9)</x:f>
      </x:c>
      <x:c r="H78" s="47" t="str">
        <x:f>IF('SME-07'!F9="","",'SME-07'!F9)</x:f>
      </x:c>
      <x:c r="I78" s="47" t="str">
        <x:f>IF('SME-07'!O9="","",'SME-07'!O9)</x:f>
      </x:c>
      <x:c r="J78" s="47" t="str">
        <x:f>IF('SME-07'!H2="","",'SME-07'!H2)</x:f>
      </x:c>
    </x:row>
    <x:row r="79" ht="42" customHeight="1">
      <x:c r="A79" s="47" t="str">
        <x:v>SME-07</x:v>
      </x:c>
      <x:c r="B79" s="47" t="str">
        <x:f>'SME-07'!A10</x:f>
        <x:v>Q03</x:v>
      </x:c>
      <x:c r="C79" s="47" t="str">
        <x:f>'SME-07'!B10</x:f>
        <x:v>Accountability and governance</x:v>
      </x:c>
      <x:c r="D79" s="47" t="str">
        <x:f>IF(ISNUMBER('SME-07'!M10),'SME-07'!M10,IF('SME-07'!M10="","",'SME-07'!M10))</x:f>
      </x:c>
      <x:c r="E79" s="47" t="n">
        <x:f>IF(ISNUMBER(D79),1,0)</x:f>
        <x:v>0</x:v>
      </x:c>
      <x:c r="F79" s="47" t="str">
        <x:f>IF('SME-07'!K10="","",'SME-07'!K10)</x:f>
      </x:c>
      <x:c r="G79" s="47" t="str">
        <x:f>IF('SME-07'!L10="","",'SME-07'!L10)</x:f>
      </x:c>
      <x:c r="H79" s="47" t="str">
        <x:f>IF('SME-07'!F10="","",'SME-07'!F10)</x:f>
      </x:c>
      <x:c r="I79" s="47" t="str">
        <x:f>IF('SME-07'!O10="","",'SME-07'!O10)</x:f>
      </x:c>
      <x:c r="J79" s="47" t="str">
        <x:f>IF('SME-07'!H2="","",'SME-07'!H2)</x:f>
      </x:c>
    </x:row>
    <x:row r="80" ht="42" customHeight="1">
      <x:c r="A80" s="47" t="str">
        <x:v>SME-07</x:v>
      </x:c>
      <x:c r="B80" s="47" t="str">
        <x:f>'SME-07'!A11</x:f>
        <x:v>Q04</x:v>
      </x:c>
      <x:c r="C80" s="47" t="str">
        <x:f>'SME-07'!B11</x:f>
        <x:v>Data protection</x:v>
      </x:c>
      <x:c r="D80" s="47" t="str">
        <x:f>IF(ISNUMBER('SME-07'!M11),'SME-07'!M11,IF('SME-07'!M11="","",'SME-07'!M11))</x:f>
      </x:c>
      <x:c r="E80" s="47" t="n">
        <x:f>IF(ISNUMBER(D80),1,0)</x:f>
        <x:v>0</x:v>
      </x:c>
      <x:c r="F80" s="47" t="str">
        <x:f>IF('SME-07'!K11="","",'SME-07'!K11)</x:f>
      </x:c>
      <x:c r="G80" s="47" t="str">
        <x:f>IF('SME-07'!L11="","",'SME-07'!L11)</x:f>
      </x:c>
      <x:c r="H80" s="47" t="str">
        <x:f>IF('SME-07'!F11="","",'SME-07'!F11)</x:f>
      </x:c>
      <x:c r="I80" s="47" t="str">
        <x:f>IF('SME-07'!O11="","",'SME-07'!O11)</x:f>
      </x:c>
      <x:c r="J80" s="47" t="str">
        <x:f>IF('SME-07'!H2="","",'SME-07'!H2)</x:f>
      </x:c>
    </x:row>
    <x:row r="81" ht="42" customHeight="1">
      <x:c r="A81" s="47" t="str">
        <x:v>SME-07</x:v>
      </x:c>
      <x:c r="B81" s="47" t="str">
        <x:f>'SME-07'!A12</x:f>
        <x:v>Q05</x:v>
      </x:c>
      <x:c r="C81" s="47" t="str">
        <x:f>'SME-07'!B12</x:f>
        <x:v>Third-party management</x:v>
      </x:c>
      <x:c r="D81" s="47" t="str">
        <x:f>IF(ISNUMBER('SME-07'!M12),'SME-07'!M12,IF('SME-07'!M12="","",'SME-07'!M12))</x:f>
      </x:c>
      <x:c r="E81" s="47" t="n">
        <x:f>IF(ISNUMBER(D81),1,0)</x:f>
        <x:v>0</x:v>
      </x:c>
      <x:c r="F81" s="47" t="str">
        <x:f>IF('SME-07'!K12="","",'SME-07'!K12)</x:f>
      </x:c>
      <x:c r="G81" s="47" t="str">
        <x:f>IF('SME-07'!L12="","",'SME-07'!L12)</x:f>
      </x:c>
      <x:c r="H81" s="47" t="str">
        <x:f>IF('SME-07'!F12="","",'SME-07'!F12)</x:f>
      </x:c>
      <x:c r="I81" s="47" t="str">
        <x:f>IF('SME-07'!O12="","",'SME-07'!O12)</x:f>
      </x:c>
      <x:c r="J81" s="47" t="str">
        <x:f>IF('SME-07'!H2="","",'SME-07'!H2)</x:f>
      </x:c>
    </x:row>
    <x:row r="82" ht="42" customHeight="1">
      <x:c r="A82" s="47" t="str">
        <x:v>SME-07</x:v>
      </x:c>
      <x:c r="B82" s="47" t="str">
        <x:f>'SME-07'!A13</x:f>
        <x:v>Q06</x:v>
      </x:c>
      <x:c r="C82" s="47" t="str">
        <x:f>'SME-07'!B13</x:f>
        <x:v>Access and integration security</x:v>
      </x:c>
      <x:c r="D82" s="47" t="str">
        <x:f>IF(ISNUMBER('SME-07'!M13),'SME-07'!M13,IF('SME-07'!M13="","",'SME-07'!M13))</x:f>
      </x:c>
      <x:c r="E82" s="47" t="n">
        <x:f>IF(ISNUMBER(D82),1,0)</x:f>
        <x:v>0</x:v>
      </x:c>
      <x:c r="F82" s="47" t="str">
        <x:f>IF('SME-07'!K13="","",'SME-07'!K13)</x:f>
      </x:c>
      <x:c r="G82" s="47" t="str">
        <x:f>IF('SME-07'!L13="","",'SME-07'!L13)</x:f>
      </x:c>
      <x:c r="H82" s="47" t="str">
        <x:f>IF('SME-07'!F13="","",'SME-07'!F13)</x:f>
      </x:c>
      <x:c r="I82" s="47" t="str">
        <x:f>IF('SME-07'!O13="","",'SME-07'!O13)</x:f>
      </x:c>
      <x:c r="J82" s="47" t="str">
        <x:f>IF('SME-07'!H2="","",'SME-07'!H2)</x:f>
      </x:c>
    </x:row>
    <x:row r="83" ht="42" customHeight="1">
      <x:c r="A83" s="47" t="str">
        <x:v>SME-07</x:v>
      </x:c>
      <x:c r="B83" s="47" t="str">
        <x:f>'SME-07'!A14</x:f>
        <x:v>Q07</x:v>
      </x:c>
      <x:c r="C83" s="47" t="str">
        <x:f>'SME-07'!B14</x:f>
        <x:v>Human oversight</x:v>
      </x:c>
      <x:c r="D83" s="47" t="str">
        <x:f>IF(ISNUMBER('SME-07'!M14),'SME-07'!M14,IF('SME-07'!M14="","",'SME-07'!M14))</x:f>
      </x:c>
      <x:c r="E83" s="47" t="n">
        <x:f>IF(ISNUMBER(D83),1,0)</x:f>
        <x:v>0</x:v>
      </x:c>
      <x:c r="F83" s="47" t="str">
        <x:f>IF('SME-07'!K14="","",'SME-07'!K14)</x:f>
      </x:c>
      <x:c r="G83" s="47" t="str">
        <x:f>IF('SME-07'!L14="","",'SME-07'!L14)</x:f>
      </x:c>
      <x:c r="H83" s="47" t="str">
        <x:f>IF('SME-07'!F14="","",'SME-07'!F14)</x:f>
      </x:c>
      <x:c r="I83" s="47" t="str">
        <x:f>IF('SME-07'!O14="","",'SME-07'!O14)</x:f>
      </x:c>
      <x:c r="J83" s="47" t="str">
        <x:f>IF('SME-07'!H2="","",'SME-07'!H2)</x:f>
      </x:c>
    </x:row>
    <x:row r="84" ht="42" customHeight="1">
      <x:c r="A84" s="47" t="str">
        <x:v>SME-07</x:v>
      </x:c>
      <x:c r="B84" s="47" t="str">
        <x:f>'SME-07'!A15</x:f>
        <x:v>Q08</x:v>
      </x:c>
      <x:c r="C84" s="47" t="str">
        <x:f>'SME-07'!B15</x:f>
        <x:v>Testing and assurance</x:v>
      </x:c>
      <x:c r="D84" s="47" t="str">
        <x:f>IF(ISNUMBER('SME-07'!M15),'SME-07'!M15,IF('SME-07'!M15="","",'SME-07'!M15))</x:f>
      </x:c>
      <x:c r="E84" s="47" t="n">
        <x:f>IF(ISNUMBER(D84),1,0)</x:f>
        <x:v>0</x:v>
      </x:c>
      <x:c r="F84" s="47" t="str">
        <x:f>IF('SME-07'!K15="","",'SME-07'!K15)</x:f>
      </x:c>
      <x:c r="G84" s="47" t="str">
        <x:f>IF('SME-07'!L15="","",'SME-07'!L15)</x:f>
      </x:c>
      <x:c r="H84" s="47" t="str">
        <x:f>IF('SME-07'!F15="","",'SME-07'!F15)</x:f>
      </x:c>
      <x:c r="I84" s="47" t="str">
        <x:f>IF('SME-07'!O15="","",'SME-07'!O15)</x:f>
      </x:c>
      <x:c r="J84" s="47" t="str">
        <x:f>IF('SME-07'!H2="","",'SME-07'!H2)</x:f>
      </x:c>
    </x:row>
    <x:row r="85" ht="42" customHeight="1">
      <x:c r="A85" s="47" t="str">
        <x:v>SME-07</x:v>
      </x:c>
      <x:c r="B85" s="47" t="str">
        <x:f>'SME-07'!A16</x:f>
        <x:v>Q09</x:v>
      </x:c>
      <x:c r="C85" s="47" t="str">
        <x:f>'SME-07'!B16</x:f>
        <x:v>Monitoring and change</x:v>
      </x:c>
      <x:c r="D85" s="47" t="str">
        <x:f>IF(ISNUMBER('SME-07'!M16),'SME-07'!M16,IF('SME-07'!M16="","",'SME-07'!M16))</x:f>
      </x:c>
      <x:c r="E85" s="47" t="n">
        <x:f>IF(ISNUMBER(D85),1,0)</x:f>
        <x:v>0</x:v>
      </x:c>
      <x:c r="F85" s="47" t="str">
        <x:f>IF('SME-07'!K16="","",'SME-07'!K16)</x:f>
      </x:c>
      <x:c r="G85" s="47" t="str">
        <x:f>IF('SME-07'!L16="","",'SME-07'!L16)</x:f>
      </x:c>
      <x:c r="H85" s="47" t="str">
        <x:f>IF('SME-07'!F16="","",'SME-07'!F16)</x:f>
      </x:c>
      <x:c r="I85" s="47" t="str">
        <x:f>IF('SME-07'!O16="","",'SME-07'!O16)</x:f>
      </x:c>
      <x:c r="J85" s="47" t="str">
        <x:f>IF('SME-07'!H2="","",'SME-07'!H2)</x:f>
      </x:c>
    </x:row>
    <x:row r="86" ht="42" customHeight="1">
      <x:c r="A86" s="47" t="str">
        <x:v>SME-07</x:v>
      </x:c>
      <x:c r="B86" s="47" t="str">
        <x:f>'SME-07'!A17</x:f>
        <x:v>Q10</x:v>
      </x:c>
      <x:c r="C86" s="47" t="str">
        <x:f>'SME-07'!B17</x:f>
        <x:v>Incident response</x:v>
      </x:c>
      <x:c r="D86" s="47" t="str">
        <x:f>IF(ISNUMBER('SME-07'!M17),'SME-07'!M17,IF('SME-07'!M17="","",'SME-07'!M17))</x:f>
      </x:c>
      <x:c r="E86" s="47" t="n">
        <x:f>IF(ISNUMBER(D86),1,0)</x:f>
        <x:v>0</x:v>
      </x:c>
      <x:c r="F86" s="47" t="str">
        <x:f>IF('SME-07'!K17="","",'SME-07'!K17)</x:f>
      </x:c>
      <x:c r="G86" s="47" t="str">
        <x:f>IF('SME-07'!L17="","",'SME-07'!L17)</x:f>
      </x:c>
      <x:c r="H86" s="47" t="str">
        <x:f>IF('SME-07'!F17="","",'SME-07'!F17)</x:f>
      </x:c>
      <x:c r="I86" s="47" t="str">
        <x:f>IF('SME-07'!O17="","",'SME-07'!O17)</x:f>
      </x:c>
      <x:c r="J86" s="47" t="str">
        <x:f>IF('SME-07'!H2="","",'SME-07'!H2)</x:f>
      </x:c>
    </x:row>
    <x:row r="87" ht="42" customHeight="1">
      <x:c r="A87" s="47" t="str">
        <x:v>SME-07</x:v>
      </x:c>
      <x:c r="B87" s="47" t="str">
        <x:f>'SME-07'!A18</x:f>
        <x:v>Q11</x:v>
      </x:c>
      <x:c r="C87" s="47" t="str">
        <x:f>'SME-07'!B18</x:f>
        <x:v>People and policy</x:v>
      </x:c>
      <x:c r="D87" s="47" t="str">
        <x:f>IF(ISNUMBER('SME-07'!M18),'SME-07'!M18,IF('SME-07'!M18="","",'SME-07'!M18))</x:f>
      </x:c>
      <x:c r="E87" s="47" t="n">
        <x:f>IF(ISNUMBER(D87),1,0)</x:f>
        <x:v>0</x:v>
      </x:c>
      <x:c r="F87" s="47" t="str">
        <x:f>IF('SME-07'!K18="","",'SME-07'!K18)</x:f>
      </x:c>
      <x:c r="G87" s="47" t="str">
        <x:f>IF('SME-07'!L18="","",'SME-07'!L18)</x:f>
      </x:c>
      <x:c r="H87" s="47" t="str">
        <x:f>IF('SME-07'!F18="","",'SME-07'!F18)</x:f>
      </x:c>
      <x:c r="I87" s="47" t="str">
        <x:f>IF('SME-07'!O18="","",'SME-07'!O18)</x:f>
      </x:c>
      <x:c r="J87" s="47" t="str">
        <x:f>IF('SME-07'!H2="","",'SME-07'!H2)</x:f>
      </x:c>
    </x:row>
    <x:row r="88" ht="42" customHeight="1">
      <x:c r="A88" s="47" t="str">
        <x:v>SME-07</x:v>
      </x:c>
      <x:c r="B88" s="47" t="str">
        <x:f>'SME-07'!A19</x:f>
        <x:v>Q12</x:v>
      </x:c>
      <x:c r="C88" s="47" t="str">
        <x:f>'SME-07'!B19</x:f>
        <x:v>Barriers and support</x:v>
      </x:c>
      <x:c r="D88" s="47" t="str">
        <x:f>IF(ISNUMBER('SME-07'!M19),'SME-07'!M19,IF('SME-07'!M19="","",'SME-07'!M19))</x:f>
        <x:v>N/A</x:v>
      </x:c>
      <x:c r="E88" s="47" t="n">
        <x:f>IF(ISNUMBER(D88),1,0)</x:f>
        <x:v>0</x:v>
      </x:c>
      <x:c r="F88" s="47" t="str">
        <x:f>IF('SME-07'!K19="","",'SME-07'!K19)</x:f>
      </x:c>
      <x:c r="G88" s="47" t="str">
        <x:f>IF('SME-07'!L19="","",'SME-07'!L19)</x:f>
      </x:c>
      <x:c r="H88" s="47" t="str">
        <x:f>IF('SME-07'!F19="","",'SME-07'!F19)</x:f>
      </x:c>
      <x:c r="I88" s="47" t="str">
        <x:f>IF('SME-07'!O19="","",'SME-07'!O19)</x:f>
      </x:c>
      <x:c r="J88" s="47" t="str">
        <x:f>IF('SME-07'!H2="","",'SME-07'!H2)</x:f>
      </x:c>
    </x:row>
    <x:row r="89" ht="42" customHeight="1">
      <x:c r="A89" s="47" t="str">
        <x:v>SME-08</x:v>
      </x:c>
      <x:c r="B89" s="47" t="str">
        <x:f>'SME-08'!A8</x:f>
        <x:v>Q01</x:v>
      </x:c>
      <x:c r="C89" s="47" t="str">
        <x:f>'SME-08'!B8</x:f>
        <x:v>AI use context</x:v>
      </x:c>
      <x:c r="D89" s="47" t="str">
        <x:f>IF(ISNUMBER('SME-08'!M8),'SME-08'!M8,IF('SME-08'!M8="","",'SME-08'!M8))</x:f>
      </x:c>
      <x:c r="E89" s="47" t="n">
        <x:f>IF(ISNUMBER(D89),1,0)</x:f>
        <x:v>0</x:v>
      </x:c>
      <x:c r="F89" s="47" t="str">
        <x:f>IF('SME-08'!K8="","",'SME-08'!K8)</x:f>
      </x:c>
      <x:c r="G89" s="47" t="str">
        <x:f>IF('SME-08'!L8="","",'SME-08'!L8)</x:f>
      </x:c>
      <x:c r="H89" s="47" t="str">
        <x:f>IF('SME-08'!F8="","",'SME-08'!F8)</x:f>
      </x:c>
      <x:c r="I89" s="47" t="str">
        <x:f>IF('SME-08'!O8="","",'SME-08'!O8)</x:f>
      </x:c>
      <x:c r="J89" s="47" t="str">
        <x:f>IF('SME-08'!H2="","",'SME-08'!H2)</x:f>
      </x:c>
    </x:row>
    <x:row r="90" ht="42" customHeight="1">
      <x:c r="A90" s="47" t="str">
        <x:v>SME-08</x:v>
      </x:c>
      <x:c r="B90" s="47" t="str">
        <x:f>'SME-08'!A9</x:f>
        <x:v>Q02</x:v>
      </x:c>
      <x:c r="C90" s="47" t="str">
        <x:f>'SME-08'!B9</x:f>
        <x:v>Accountability and governance</x:v>
      </x:c>
      <x:c r="D90" s="47" t="str">
        <x:f>IF(ISNUMBER('SME-08'!M9),'SME-08'!M9,IF('SME-08'!M9="","",'SME-08'!M9))</x:f>
      </x:c>
      <x:c r="E90" s="47" t="n">
        <x:f>IF(ISNUMBER(D90),1,0)</x:f>
        <x:v>0</x:v>
      </x:c>
      <x:c r="F90" s="47" t="str">
        <x:f>IF('SME-08'!K9="","",'SME-08'!K9)</x:f>
      </x:c>
      <x:c r="G90" s="47" t="str">
        <x:f>IF('SME-08'!L9="","",'SME-08'!L9)</x:f>
      </x:c>
      <x:c r="H90" s="47" t="str">
        <x:f>IF('SME-08'!F9="","",'SME-08'!F9)</x:f>
      </x:c>
      <x:c r="I90" s="47" t="str">
        <x:f>IF('SME-08'!O9="","",'SME-08'!O9)</x:f>
      </x:c>
      <x:c r="J90" s="47" t="str">
        <x:f>IF('SME-08'!H2="","",'SME-08'!H2)</x:f>
      </x:c>
    </x:row>
    <x:row r="91" ht="42" customHeight="1">
      <x:c r="A91" s="47" t="str">
        <x:v>SME-08</x:v>
      </x:c>
      <x:c r="B91" s="47" t="str">
        <x:f>'SME-08'!A10</x:f>
        <x:v>Q03</x:v>
      </x:c>
      <x:c r="C91" s="47" t="str">
        <x:f>'SME-08'!B10</x:f>
        <x:v>Accountability and governance</x:v>
      </x:c>
      <x:c r="D91" s="47" t="str">
        <x:f>IF(ISNUMBER('SME-08'!M10),'SME-08'!M10,IF('SME-08'!M10="","",'SME-08'!M10))</x:f>
      </x:c>
      <x:c r="E91" s="47" t="n">
        <x:f>IF(ISNUMBER(D91),1,0)</x:f>
        <x:v>0</x:v>
      </x:c>
      <x:c r="F91" s="47" t="str">
        <x:f>IF('SME-08'!K10="","",'SME-08'!K10)</x:f>
      </x:c>
      <x:c r="G91" s="47" t="str">
        <x:f>IF('SME-08'!L10="","",'SME-08'!L10)</x:f>
      </x:c>
      <x:c r="H91" s="47" t="str">
        <x:f>IF('SME-08'!F10="","",'SME-08'!F10)</x:f>
      </x:c>
      <x:c r="I91" s="47" t="str">
        <x:f>IF('SME-08'!O10="","",'SME-08'!O10)</x:f>
      </x:c>
      <x:c r="J91" s="47" t="str">
        <x:f>IF('SME-08'!H2="","",'SME-08'!H2)</x:f>
      </x:c>
    </x:row>
    <x:row r="92" ht="42" customHeight="1">
      <x:c r="A92" s="47" t="str">
        <x:v>SME-08</x:v>
      </x:c>
      <x:c r="B92" s="47" t="str">
        <x:f>'SME-08'!A11</x:f>
        <x:v>Q04</x:v>
      </x:c>
      <x:c r="C92" s="47" t="str">
        <x:f>'SME-08'!B11</x:f>
        <x:v>Data protection</x:v>
      </x:c>
      <x:c r="D92" s="47" t="str">
        <x:f>IF(ISNUMBER('SME-08'!M11),'SME-08'!M11,IF('SME-08'!M11="","",'SME-08'!M11))</x:f>
      </x:c>
      <x:c r="E92" s="47" t="n">
        <x:f>IF(ISNUMBER(D92),1,0)</x:f>
        <x:v>0</x:v>
      </x:c>
      <x:c r="F92" s="47" t="str">
        <x:f>IF('SME-08'!K11="","",'SME-08'!K11)</x:f>
      </x:c>
      <x:c r="G92" s="47" t="str">
        <x:f>IF('SME-08'!L11="","",'SME-08'!L11)</x:f>
      </x:c>
      <x:c r="H92" s="47" t="str">
        <x:f>IF('SME-08'!F11="","",'SME-08'!F11)</x:f>
      </x:c>
      <x:c r="I92" s="47" t="str">
        <x:f>IF('SME-08'!O11="","",'SME-08'!O11)</x:f>
      </x:c>
      <x:c r="J92" s="47" t="str">
        <x:f>IF('SME-08'!H2="","",'SME-08'!H2)</x:f>
      </x:c>
    </x:row>
    <x:row r="93" ht="42" customHeight="1">
      <x:c r="A93" s="47" t="str">
        <x:v>SME-08</x:v>
      </x:c>
      <x:c r="B93" s="47" t="str">
        <x:f>'SME-08'!A12</x:f>
        <x:v>Q05</x:v>
      </x:c>
      <x:c r="C93" s="47" t="str">
        <x:f>'SME-08'!B12</x:f>
        <x:v>Third-party management</x:v>
      </x:c>
      <x:c r="D93" s="47" t="str">
        <x:f>IF(ISNUMBER('SME-08'!M12),'SME-08'!M12,IF('SME-08'!M12="","",'SME-08'!M12))</x:f>
      </x:c>
      <x:c r="E93" s="47" t="n">
        <x:f>IF(ISNUMBER(D93),1,0)</x:f>
        <x:v>0</x:v>
      </x:c>
      <x:c r="F93" s="47" t="str">
        <x:f>IF('SME-08'!K12="","",'SME-08'!K12)</x:f>
      </x:c>
      <x:c r="G93" s="47" t="str">
        <x:f>IF('SME-08'!L12="","",'SME-08'!L12)</x:f>
      </x:c>
      <x:c r="H93" s="47" t="str">
        <x:f>IF('SME-08'!F12="","",'SME-08'!F12)</x:f>
      </x:c>
      <x:c r="I93" s="47" t="str">
        <x:f>IF('SME-08'!O12="","",'SME-08'!O12)</x:f>
      </x:c>
      <x:c r="J93" s="47" t="str">
        <x:f>IF('SME-08'!H2="","",'SME-08'!H2)</x:f>
      </x:c>
    </x:row>
    <x:row r="94" ht="42" customHeight="1">
      <x:c r="A94" s="47" t="str">
        <x:v>SME-08</x:v>
      </x:c>
      <x:c r="B94" s="47" t="str">
        <x:f>'SME-08'!A13</x:f>
        <x:v>Q06</x:v>
      </x:c>
      <x:c r="C94" s="47" t="str">
        <x:f>'SME-08'!B13</x:f>
        <x:v>Access and integration security</x:v>
      </x:c>
      <x:c r="D94" s="47" t="str">
        <x:f>IF(ISNUMBER('SME-08'!M13),'SME-08'!M13,IF('SME-08'!M13="","",'SME-08'!M13))</x:f>
      </x:c>
      <x:c r="E94" s="47" t="n">
        <x:f>IF(ISNUMBER(D94),1,0)</x:f>
        <x:v>0</x:v>
      </x:c>
      <x:c r="F94" s="47" t="str">
        <x:f>IF('SME-08'!K13="","",'SME-08'!K13)</x:f>
      </x:c>
      <x:c r="G94" s="47" t="str">
        <x:f>IF('SME-08'!L13="","",'SME-08'!L13)</x:f>
      </x:c>
      <x:c r="H94" s="47" t="str">
        <x:f>IF('SME-08'!F13="","",'SME-08'!F13)</x:f>
      </x:c>
      <x:c r="I94" s="47" t="str">
        <x:f>IF('SME-08'!O13="","",'SME-08'!O13)</x:f>
      </x:c>
      <x:c r="J94" s="47" t="str">
        <x:f>IF('SME-08'!H2="","",'SME-08'!H2)</x:f>
      </x:c>
    </x:row>
    <x:row r="95" ht="42" customHeight="1">
      <x:c r="A95" s="47" t="str">
        <x:v>SME-08</x:v>
      </x:c>
      <x:c r="B95" s="47" t="str">
        <x:f>'SME-08'!A14</x:f>
        <x:v>Q07</x:v>
      </x:c>
      <x:c r="C95" s="47" t="str">
        <x:f>'SME-08'!B14</x:f>
        <x:v>Human oversight</x:v>
      </x:c>
      <x:c r="D95" s="47" t="str">
        <x:f>IF(ISNUMBER('SME-08'!M14),'SME-08'!M14,IF('SME-08'!M14="","",'SME-08'!M14))</x:f>
      </x:c>
      <x:c r="E95" s="47" t="n">
        <x:f>IF(ISNUMBER(D95),1,0)</x:f>
        <x:v>0</x:v>
      </x:c>
      <x:c r="F95" s="47" t="str">
        <x:f>IF('SME-08'!K14="","",'SME-08'!K14)</x:f>
      </x:c>
      <x:c r="G95" s="47" t="str">
        <x:f>IF('SME-08'!L14="","",'SME-08'!L14)</x:f>
      </x:c>
      <x:c r="H95" s="47" t="str">
        <x:f>IF('SME-08'!F14="","",'SME-08'!F14)</x:f>
      </x:c>
      <x:c r="I95" s="47" t="str">
        <x:f>IF('SME-08'!O14="","",'SME-08'!O14)</x:f>
      </x:c>
      <x:c r="J95" s="47" t="str">
        <x:f>IF('SME-08'!H2="","",'SME-08'!H2)</x:f>
      </x:c>
    </x:row>
    <x:row r="96" ht="42" customHeight="1">
      <x:c r="A96" s="47" t="str">
        <x:v>SME-08</x:v>
      </x:c>
      <x:c r="B96" s="47" t="str">
        <x:f>'SME-08'!A15</x:f>
        <x:v>Q08</x:v>
      </x:c>
      <x:c r="C96" s="47" t="str">
        <x:f>'SME-08'!B15</x:f>
        <x:v>Testing and assurance</x:v>
      </x:c>
      <x:c r="D96" s="47" t="str">
        <x:f>IF(ISNUMBER('SME-08'!M15),'SME-08'!M15,IF('SME-08'!M15="","",'SME-08'!M15))</x:f>
      </x:c>
      <x:c r="E96" s="47" t="n">
        <x:f>IF(ISNUMBER(D96),1,0)</x:f>
        <x:v>0</x:v>
      </x:c>
      <x:c r="F96" s="47" t="str">
        <x:f>IF('SME-08'!K15="","",'SME-08'!K15)</x:f>
      </x:c>
      <x:c r="G96" s="47" t="str">
        <x:f>IF('SME-08'!L15="","",'SME-08'!L15)</x:f>
      </x:c>
      <x:c r="H96" s="47" t="str">
        <x:f>IF('SME-08'!F15="","",'SME-08'!F15)</x:f>
      </x:c>
      <x:c r="I96" s="47" t="str">
        <x:f>IF('SME-08'!O15="","",'SME-08'!O15)</x:f>
      </x:c>
      <x:c r="J96" s="47" t="str">
        <x:f>IF('SME-08'!H2="","",'SME-08'!H2)</x:f>
      </x:c>
    </x:row>
    <x:row r="97" ht="42" customHeight="1">
      <x:c r="A97" s="47" t="str">
        <x:v>SME-08</x:v>
      </x:c>
      <x:c r="B97" s="47" t="str">
        <x:f>'SME-08'!A16</x:f>
        <x:v>Q09</x:v>
      </x:c>
      <x:c r="C97" s="47" t="str">
        <x:f>'SME-08'!B16</x:f>
        <x:v>Monitoring and change</x:v>
      </x:c>
      <x:c r="D97" s="47" t="str">
        <x:f>IF(ISNUMBER('SME-08'!M16),'SME-08'!M16,IF('SME-08'!M16="","",'SME-08'!M16))</x:f>
      </x:c>
      <x:c r="E97" s="47" t="n">
        <x:f>IF(ISNUMBER(D97),1,0)</x:f>
        <x:v>0</x:v>
      </x:c>
      <x:c r="F97" s="47" t="str">
        <x:f>IF('SME-08'!K16="","",'SME-08'!K16)</x:f>
      </x:c>
      <x:c r="G97" s="47" t="str">
        <x:f>IF('SME-08'!L16="","",'SME-08'!L16)</x:f>
      </x:c>
      <x:c r="H97" s="47" t="str">
        <x:f>IF('SME-08'!F16="","",'SME-08'!F16)</x:f>
      </x:c>
      <x:c r="I97" s="47" t="str">
        <x:f>IF('SME-08'!O16="","",'SME-08'!O16)</x:f>
      </x:c>
      <x:c r="J97" s="47" t="str">
        <x:f>IF('SME-08'!H2="","",'SME-08'!H2)</x:f>
      </x:c>
    </x:row>
    <x:row r="98" ht="42" customHeight="1">
      <x:c r="A98" s="47" t="str">
        <x:v>SME-08</x:v>
      </x:c>
      <x:c r="B98" s="47" t="str">
        <x:f>'SME-08'!A17</x:f>
        <x:v>Q10</x:v>
      </x:c>
      <x:c r="C98" s="47" t="str">
        <x:f>'SME-08'!B17</x:f>
        <x:v>Incident response</x:v>
      </x:c>
      <x:c r="D98" s="47" t="str">
        <x:f>IF(ISNUMBER('SME-08'!M17),'SME-08'!M17,IF('SME-08'!M17="","",'SME-08'!M17))</x:f>
      </x:c>
      <x:c r="E98" s="47" t="n">
        <x:f>IF(ISNUMBER(D98),1,0)</x:f>
        <x:v>0</x:v>
      </x:c>
      <x:c r="F98" s="47" t="str">
        <x:f>IF('SME-08'!K17="","",'SME-08'!K17)</x:f>
      </x:c>
      <x:c r="G98" s="47" t="str">
        <x:f>IF('SME-08'!L17="","",'SME-08'!L17)</x:f>
      </x:c>
      <x:c r="H98" s="47" t="str">
        <x:f>IF('SME-08'!F17="","",'SME-08'!F17)</x:f>
      </x:c>
      <x:c r="I98" s="47" t="str">
        <x:f>IF('SME-08'!O17="","",'SME-08'!O17)</x:f>
      </x:c>
      <x:c r="J98" s="47" t="str">
        <x:f>IF('SME-08'!H2="","",'SME-08'!H2)</x:f>
      </x:c>
    </x:row>
    <x:row r="99" ht="42" customHeight="1">
      <x:c r="A99" s="47" t="str">
        <x:v>SME-08</x:v>
      </x:c>
      <x:c r="B99" s="47" t="str">
        <x:f>'SME-08'!A18</x:f>
        <x:v>Q11</x:v>
      </x:c>
      <x:c r="C99" s="47" t="str">
        <x:f>'SME-08'!B18</x:f>
        <x:v>People and policy</x:v>
      </x:c>
      <x:c r="D99" s="47" t="str">
        <x:f>IF(ISNUMBER('SME-08'!M18),'SME-08'!M18,IF('SME-08'!M18="","",'SME-08'!M18))</x:f>
      </x:c>
      <x:c r="E99" s="47" t="n">
        <x:f>IF(ISNUMBER(D99),1,0)</x:f>
        <x:v>0</x:v>
      </x:c>
      <x:c r="F99" s="47" t="str">
        <x:f>IF('SME-08'!K18="","",'SME-08'!K18)</x:f>
      </x:c>
      <x:c r="G99" s="47" t="str">
        <x:f>IF('SME-08'!L18="","",'SME-08'!L18)</x:f>
      </x:c>
      <x:c r="H99" s="47" t="str">
        <x:f>IF('SME-08'!F18="","",'SME-08'!F18)</x:f>
      </x:c>
      <x:c r="I99" s="47" t="str">
        <x:f>IF('SME-08'!O18="","",'SME-08'!O18)</x:f>
      </x:c>
      <x:c r="J99" s="47" t="str">
        <x:f>IF('SME-08'!H2="","",'SME-08'!H2)</x:f>
      </x:c>
    </x:row>
    <x:row r="100" ht="42" customHeight="1">
      <x:c r="A100" s="47" t="str">
        <x:v>SME-08</x:v>
      </x:c>
      <x:c r="B100" s="47" t="str">
        <x:f>'SME-08'!A19</x:f>
        <x:v>Q12</x:v>
      </x:c>
      <x:c r="C100" s="47" t="str">
        <x:f>'SME-08'!B19</x:f>
        <x:v>Barriers and support</x:v>
      </x:c>
      <x:c r="D100" s="47" t="str">
        <x:f>IF(ISNUMBER('SME-08'!M19),'SME-08'!M19,IF('SME-08'!M19="","",'SME-08'!M19))</x:f>
        <x:v>N/A</x:v>
      </x:c>
      <x:c r="E100" s="47" t="n">
        <x:f>IF(ISNUMBER(D100),1,0)</x:f>
        <x:v>0</x:v>
      </x:c>
      <x:c r="F100" s="47" t="str">
        <x:f>IF('SME-08'!K19="","",'SME-08'!K19)</x:f>
      </x:c>
      <x:c r="G100" s="47" t="str">
        <x:f>IF('SME-08'!L19="","",'SME-08'!L19)</x:f>
      </x:c>
      <x:c r="H100" s="47" t="str">
        <x:f>IF('SME-08'!F19="","",'SME-08'!F19)</x:f>
      </x:c>
      <x:c r="I100" s="47" t="str">
        <x:f>IF('SME-08'!O19="","",'SME-08'!O19)</x:f>
      </x:c>
      <x:c r="J100" s="47" t="str">
        <x:f>IF('SME-08'!H2="","",'SME-08'!H2)</x:f>
      </x:c>
    </x:row>
    <x:row r="101" ht="42" customHeight="1">
      <x:c r="A101" s="47" t="str">
        <x:v>SME-09</x:v>
      </x:c>
      <x:c r="B101" s="47" t="str">
        <x:f>'SME-09'!A8</x:f>
        <x:v>Q01</x:v>
      </x:c>
      <x:c r="C101" s="47" t="str">
        <x:f>'SME-09'!B8</x:f>
        <x:v>AI use context</x:v>
      </x:c>
      <x:c r="D101" s="47" t="str">
        <x:f>IF(ISNUMBER('SME-09'!M8),'SME-09'!M8,IF('SME-09'!M8="","",'SME-09'!M8))</x:f>
      </x:c>
      <x:c r="E101" s="47" t="n">
        <x:f>IF(ISNUMBER(D101),1,0)</x:f>
        <x:v>0</x:v>
      </x:c>
      <x:c r="F101" s="47" t="str">
        <x:f>IF('SME-09'!K8="","",'SME-09'!K8)</x:f>
      </x:c>
      <x:c r="G101" s="47" t="str">
        <x:f>IF('SME-09'!L8="","",'SME-09'!L8)</x:f>
      </x:c>
      <x:c r="H101" s="47" t="str">
        <x:f>IF('SME-09'!F8="","",'SME-09'!F8)</x:f>
      </x:c>
      <x:c r="I101" s="47" t="str">
        <x:f>IF('SME-09'!O8="","",'SME-09'!O8)</x:f>
      </x:c>
      <x:c r="J101" s="47" t="str">
        <x:f>IF('SME-09'!H2="","",'SME-09'!H2)</x:f>
      </x:c>
    </x:row>
    <x:row r="102" ht="42" customHeight="1">
      <x:c r="A102" s="47" t="str">
        <x:v>SME-09</x:v>
      </x:c>
      <x:c r="B102" s="47" t="str">
        <x:f>'SME-09'!A9</x:f>
        <x:v>Q02</x:v>
      </x:c>
      <x:c r="C102" s="47" t="str">
        <x:f>'SME-09'!B9</x:f>
        <x:v>Accountability and governance</x:v>
      </x:c>
      <x:c r="D102" s="47" t="str">
        <x:f>IF(ISNUMBER('SME-09'!M9),'SME-09'!M9,IF('SME-09'!M9="","",'SME-09'!M9))</x:f>
      </x:c>
      <x:c r="E102" s="47" t="n">
        <x:f>IF(ISNUMBER(D102),1,0)</x:f>
        <x:v>0</x:v>
      </x:c>
      <x:c r="F102" s="47" t="str">
        <x:f>IF('SME-09'!K9="","",'SME-09'!K9)</x:f>
      </x:c>
      <x:c r="G102" s="47" t="str">
        <x:f>IF('SME-09'!L9="","",'SME-09'!L9)</x:f>
      </x:c>
      <x:c r="H102" s="47" t="str">
        <x:f>IF('SME-09'!F9="","",'SME-09'!F9)</x:f>
      </x:c>
      <x:c r="I102" s="47" t="str">
        <x:f>IF('SME-09'!O9="","",'SME-09'!O9)</x:f>
      </x:c>
      <x:c r="J102" s="47" t="str">
        <x:f>IF('SME-09'!H2="","",'SME-09'!H2)</x:f>
      </x:c>
    </x:row>
    <x:row r="103" ht="42" customHeight="1">
      <x:c r="A103" s="47" t="str">
        <x:v>SME-09</x:v>
      </x:c>
      <x:c r="B103" s="47" t="str">
        <x:f>'SME-09'!A10</x:f>
        <x:v>Q03</x:v>
      </x:c>
      <x:c r="C103" s="47" t="str">
        <x:f>'SME-09'!B10</x:f>
        <x:v>Accountability and governance</x:v>
      </x:c>
      <x:c r="D103" s="47" t="str">
        <x:f>IF(ISNUMBER('SME-09'!M10),'SME-09'!M10,IF('SME-09'!M10="","",'SME-09'!M10))</x:f>
      </x:c>
      <x:c r="E103" s="47" t="n">
        <x:f>IF(ISNUMBER(D103),1,0)</x:f>
        <x:v>0</x:v>
      </x:c>
      <x:c r="F103" s="47" t="str">
        <x:f>IF('SME-09'!K10="","",'SME-09'!K10)</x:f>
      </x:c>
      <x:c r="G103" s="47" t="str">
        <x:f>IF('SME-09'!L10="","",'SME-09'!L10)</x:f>
      </x:c>
      <x:c r="H103" s="47" t="str">
        <x:f>IF('SME-09'!F10="","",'SME-09'!F10)</x:f>
      </x:c>
      <x:c r="I103" s="47" t="str">
        <x:f>IF('SME-09'!O10="","",'SME-09'!O10)</x:f>
      </x:c>
      <x:c r="J103" s="47" t="str">
        <x:f>IF('SME-09'!H2="","",'SME-09'!H2)</x:f>
      </x:c>
    </x:row>
    <x:row r="104" ht="42" customHeight="1">
      <x:c r="A104" s="47" t="str">
        <x:v>SME-09</x:v>
      </x:c>
      <x:c r="B104" s="47" t="str">
        <x:f>'SME-09'!A11</x:f>
        <x:v>Q04</x:v>
      </x:c>
      <x:c r="C104" s="47" t="str">
        <x:f>'SME-09'!B11</x:f>
        <x:v>Data protection</x:v>
      </x:c>
      <x:c r="D104" s="47" t="str">
        <x:f>IF(ISNUMBER('SME-09'!M11),'SME-09'!M11,IF('SME-09'!M11="","",'SME-09'!M11))</x:f>
      </x:c>
      <x:c r="E104" s="47" t="n">
        <x:f>IF(ISNUMBER(D104),1,0)</x:f>
        <x:v>0</x:v>
      </x:c>
      <x:c r="F104" s="47" t="str">
        <x:f>IF('SME-09'!K11="","",'SME-09'!K11)</x:f>
      </x:c>
      <x:c r="G104" s="47" t="str">
        <x:f>IF('SME-09'!L11="","",'SME-09'!L11)</x:f>
      </x:c>
      <x:c r="H104" s="47" t="str">
        <x:f>IF('SME-09'!F11="","",'SME-09'!F11)</x:f>
      </x:c>
      <x:c r="I104" s="47" t="str">
        <x:f>IF('SME-09'!O11="","",'SME-09'!O11)</x:f>
      </x:c>
      <x:c r="J104" s="47" t="str">
        <x:f>IF('SME-09'!H2="","",'SME-09'!H2)</x:f>
      </x:c>
    </x:row>
    <x:row r="105" ht="42" customHeight="1">
      <x:c r="A105" s="47" t="str">
        <x:v>SME-09</x:v>
      </x:c>
      <x:c r="B105" s="47" t="str">
        <x:f>'SME-09'!A12</x:f>
        <x:v>Q05</x:v>
      </x:c>
      <x:c r="C105" s="47" t="str">
        <x:f>'SME-09'!B12</x:f>
        <x:v>Third-party management</x:v>
      </x:c>
      <x:c r="D105" s="47" t="str">
        <x:f>IF(ISNUMBER('SME-09'!M12),'SME-09'!M12,IF('SME-09'!M12="","",'SME-09'!M12))</x:f>
      </x:c>
      <x:c r="E105" s="47" t="n">
        <x:f>IF(ISNUMBER(D105),1,0)</x:f>
        <x:v>0</x:v>
      </x:c>
      <x:c r="F105" s="47" t="str">
        <x:f>IF('SME-09'!K12="","",'SME-09'!K12)</x:f>
      </x:c>
      <x:c r="G105" s="47" t="str">
        <x:f>IF('SME-09'!L12="","",'SME-09'!L12)</x:f>
      </x:c>
      <x:c r="H105" s="47" t="str">
        <x:f>IF('SME-09'!F12="","",'SME-09'!F12)</x:f>
      </x:c>
      <x:c r="I105" s="47" t="str">
        <x:f>IF('SME-09'!O12="","",'SME-09'!O12)</x:f>
      </x:c>
      <x:c r="J105" s="47" t="str">
        <x:f>IF('SME-09'!H2="","",'SME-09'!H2)</x:f>
      </x:c>
    </x:row>
    <x:row r="106" ht="42" customHeight="1">
      <x:c r="A106" s="47" t="str">
        <x:v>SME-09</x:v>
      </x:c>
      <x:c r="B106" s="47" t="str">
        <x:f>'SME-09'!A13</x:f>
        <x:v>Q06</x:v>
      </x:c>
      <x:c r="C106" s="47" t="str">
        <x:f>'SME-09'!B13</x:f>
        <x:v>Access and integration security</x:v>
      </x:c>
      <x:c r="D106" s="47" t="str">
        <x:f>IF(ISNUMBER('SME-09'!M13),'SME-09'!M13,IF('SME-09'!M13="","",'SME-09'!M13))</x:f>
      </x:c>
      <x:c r="E106" s="47" t="n">
        <x:f>IF(ISNUMBER(D106),1,0)</x:f>
        <x:v>0</x:v>
      </x:c>
      <x:c r="F106" s="47" t="str">
        <x:f>IF('SME-09'!K13="","",'SME-09'!K13)</x:f>
      </x:c>
      <x:c r="G106" s="47" t="str">
        <x:f>IF('SME-09'!L13="","",'SME-09'!L13)</x:f>
      </x:c>
      <x:c r="H106" s="47" t="str">
        <x:f>IF('SME-09'!F13="","",'SME-09'!F13)</x:f>
      </x:c>
      <x:c r="I106" s="47" t="str">
        <x:f>IF('SME-09'!O13="","",'SME-09'!O13)</x:f>
      </x:c>
      <x:c r="J106" s="47" t="str">
        <x:f>IF('SME-09'!H2="","",'SME-09'!H2)</x:f>
      </x:c>
    </x:row>
    <x:row r="107" ht="42" customHeight="1">
      <x:c r="A107" s="47" t="str">
        <x:v>SME-09</x:v>
      </x:c>
      <x:c r="B107" s="47" t="str">
        <x:f>'SME-09'!A14</x:f>
        <x:v>Q07</x:v>
      </x:c>
      <x:c r="C107" s="47" t="str">
        <x:f>'SME-09'!B14</x:f>
        <x:v>Human oversight</x:v>
      </x:c>
      <x:c r="D107" s="47" t="str">
        <x:f>IF(ISNUMBER('SME-09'!M14),'SME-09'!M14,IF('SME-09'!M14="","",'SME-09'!M14))</x:f>
      </x:c>
      <x:c r="E107" s="47" t="n">
        <x:f>IF(ISNUMBER(D107),1,0)</x:f>
        <x:v>0</x:v>
      </x:c>
      <x:c r="F107" s="47" t="str">
        <x:f>IF('SME-09'!K14="","",'SME-09'!K14)</x:f>
      </x:c>
      <x:c r="G107" s="47" t="str">
        <x:f>IF('SME-09'!L14="","",'SME-09'!L14)</x:f>
      </x:c>
      <x:c r="H107" s="47" t="str">
        <x:f>IF('SME-09'!F14="","",'SME-09'!F14)</x:f>
      </x:c>
      <x:c r="I107" s="47" t="str">
        <x:f>IF('SME-09'!O14="","",'SME-09'!O14)</x:f>
      </x:c>
      <x:c r="J107" s="47" t="str">
        <x:f>IF('SME-09'!H2="","",'SME-09'!H2)</x:f>
      </x:c>
    </x:row>
    <x:row r="108" ht="42" customHeight="1">
      <x:c r="A108" s="47" t="str">
        <x:v>SME-09</x:v>
      </x:c>
      <x:c r="B108" s="47" t="str">
        <x:f>'SME-09'!A15</x:f>
        <x:v>Q08</x:v>
      </x:c>
      <x:c r="C108" s="47" t="str">
        <x:f>'SME-09'!B15</x:f>
        <x:v>Testing and assurance</x:v>
      </x:c>
      <x:c r="D108" s="47" t="str">
        <x:f>IF(ISNUMBER('SME-09'!M15),'SME-09'!M15,IF('SME-09'!M15="","",'SME-09'!M15))</x:f>
      </x:c>
      <x:c r="E108" s="47" t="n">
        <x:f>IF(ISNUMBER(D108),1,0)</x:f>
        <x:v>0</x:v>
      </x:c>
      <x:c r="F108" s="47" t="str">
        <x:f>IF('SME-09'!K15="","",'SME-09'!K15)</x:f>
      </x:c>
      <x:c r="G108" s="47" t="str">
        <x:f>IF('SME-09'!L15="","",'SME-09'!L15)</x:f>
      </x:c>
      <x:c r="H108" s="47" t="str">
        <x:f>IF('SME-09'!F15="","",'SME-09'!F15)</x:f>
      </x:c>
      <x:c r="I108" s="47" t="str">
        <x:f>IF('SME-09'!O15="","",'SME-09'!O15)</x:f>
      </x:c>
      <x:c r="J108" s="47" t="str">
        <x:f>IF('SME-09'!H2="","",'SME-09'!H2)</x:f>
      </x:c>
    </x:row>
    <x:row r="109" ht="42" customHeight="1">
      <x:c r="A109" s="47" t="str">
        <x:v>SME-09</x:v>
      </x:c>
      <x:c r="B109" s="47" t="str">
        <x:f>'SME-09'!A16</x:f>
        <x:v>Q09</x:v>
      </x:c>
      <x:c r="C109" s="47" t="str">
        <x:f>'SME-09'!B16</x:f>
        <x:v>Monitoring and change</x:v>
      </x:c>
      <x:c r="D109" s="47" t="str">
        <x:f>IF(ISNUMBER('SME-09'!M16),'SME-09'!M16,IF('SME-09'!M16="","",'SME-09'!M16))</x:f>
      </x:c>
      <x:c r="E109" s="47" t="n">
        <x:f>IF(ISNUMBER(D109),1,0)</x:f>
        <x:v>0</x:v>
      </x:c>
      <x:c r="F109" s="47" t="str">
        <x:f>IF('SME-09'!K16="","",'SME-09'!K16)</x:f>
      </x:c>
      <x:c r="G109" s="47" t="str">
        <x:f>IF('SME-09'!L16="","",'SME-09'!L16)</x:f>
      </x:c>
      <x:c r="H109" s="47" t="str">
        <x:f>IF('SME-09'!F16="","",'SME-09'!F16)</x:f>
      </x:c>
      <x:c r="I109" s="47" t="str">
        <x:f>IF('SME-09'!O16="","",'SME-09'!O16)</x:f>
      </x:c>
      <x:c r="J109" s="47" t="str">
        <x:f>IF('SME-09'!H2="","",'SME-09'!H2)</x:f>
      </x:c>
    </x:row>
    <x:row r="110" ht="42" customHeight="1">
      <x:c r="A110" s="47" t="str">
        <x:v>SME-09</x:v>
      </x:c>
      <x:c r="B110" s="47" t="str">
        <x:f>'SME-09'!A17</x:f>
        <x:v>Q10</x:v>
      </x:c>
      <x:c r="C110" s="47" t="str">
        <x:f>'SME-09'!B17</x:f>
        <x:v>Incident response</x:v>
      </x:c>
      <x:c r="D110" s="47" t="str">
        <x:f>IF(ISNUMBER('SME-09'!M17),'SME-09'!M17,IF('SME-09'!M17="","",'SME-09'!M17))</x:f>
      </x:c>
      <x:c r="E110" s="47" t="n">
        <x:f>IF(ISNUMBER(D110),1,0)</x:f>
        <x:v>0</x:v>
      </x:c>
      <x:c r="F110" s="47" t="str">
        <x:f>IF('SME-09'!K17="","",'SME-09'!K17)</x:f>
      </x:c>
      <x:c r="G110" s="47" t="str">
        <x:f>IF('SME-09'!L17="","",'SME-09'!L17)</x:f>
      </x:c>
      <x:c r="H110" s="47" t="str">
        <x:f>IF('SME-09'!F17="","",'SME-09'!F17)</x:f>
      </x:c>
      <x:c r="I110" s="47" t="str">
        <x:f>IF('SME-09'!O17="","",'SME-09'!O17)</x:f>
      </x:c>
      <x:c r="J110" s="47" t="str">
        <x:f>IF('SME-09'!H2="","",'SME-09'!H2)</x:f>
      </x:c>
    </x:row>
    <x:row r="111" ht="42" customHeight="1">
      <x:c r="A111" s="47" t="str">
        <x:v>SME-09</x:v>
      </x:c>
      <x:c r="B111" s="47" t="str">
        <x:f>'SME-09'!A18</x:f>
        <x:v>Q11</x:v>
      </x:c>
      <x:c r="C111" s="47" t="str">
        <x:f>'SME-09'!B18</x:f>
        <x:v>People and policy</x:v>
      </x:c>
      <x:c r="D111" s="47" t="str">
        <x:f>IF(ISNUMBER('SME-09'!M18),'SME-09'!M18,IF('SME-09'!M18="","",'SME-09'!M18))</x:f>
      </x:c>
      <x:c r="E111" s="47" t="n">
        <x:f>IF(ISNUMBER(D111),1,0)</x:f>
        <x:v>0</x:v>
      </x:c>
      <x:c r="F111" s="47" t="str">
        <x:f>IF('SME-09'!K18="","",'SME-09'!K18)</x:f>
      </x:c>
      <x:c r="G111" s="47" t="str">
        <x:f>IF('SME-09'!L18="","",'SME-09'!L18)</x:f>
      </x:c>
      <x:c r="H111" s="47" t="str">
        <x:f>IF('SME-09'!F18="","",'SME-09'!F18)</x:f>
      </x:c>
      <x:c r="I111" s="47" t="str">
        <x:f>IF('SME-09'!O18="","",'SME-09'!O18)</x:f>
      </x:c>
      <x:c r="J111" s="47" t="str">
        <x:f>IF('SME-09'!H2="","",'SME-09'!H2)</x:f>
      </x:c>
    </x:row>
    <x:row r="112" ht="42" customHeight="1">
      <x:c r="A112" s="47" t="str">
        <x:v>SME-09</x:v>
      </x:c>
      <x:c r="B112" s="47" t="str">
        <x:f>'SME-09'!A19</x:f>
        <x:v>Q12</x:v>
      </x:c>
      <x:c r="C112" s="47" t="str">
        <x:f>'SME-09'!B19</x:f>
        <x:v>Barriers and support</x:v>
      </x:c>
      <x:c r="D112" s="47" t="str">
        <x:f>IF(ISNUMBER('SME-09'!M19),'SME-09'!M19,IF('SME-09'!M19="","",'SME-09'!M19))</x:f>
        <x:v>N/A</x:v>
      </x:c>
      <x:c r="E112" s="47" t="n">
        <x:f>IF(ISNUMBER(D112),1,0)</x:f>
        <x:v>0</x:v>
      </x:c>
      <x:c r="F112" s="47" t="str">
        <x:f>IF('SME-09'!K19="","",'SME-09'!K19)</x:f>
      </x:c>
      <x:c r="G112" s="47" t="str">
        <x:f>IF('SME-09'!L19="","",'SME-09'!L19)</x:f>
      </x:c>
      <x:c r="H112" s="47" t="str">
        <x:f>IF('SME-09'!F19="","",'SME-09'!F19)</x:f>
      </x:c>
      <x:c r="I112" s="47" t="str">
        <x:f>IF('SME-09'!O19="","",'SME-09'!O19)</x:f>
      </x:c>
      <x:c r="J112" s="47" t="str">
        <x:f>IF('SME-09'!H2="","",'SME-09'!H2)</x:f>
      </x:c>
    </x:row>
    <x:row r="113" ht="42" customHeight="1">
      <x:c r="A113" s="47" t="str">
        <x:v>SME-10</x:v>
      </x:c>
      <x:c r="B113" s="47" t="str">
        <x:f>'SME-10'!A8</x:f>
        <x:v>Q01</x:v>
      </x:c>
      <x:c r="C113" s="47" t="str">
        <x:f>'SME-10'!B8</x:f>
        <x:v>AI use context</x:v>
      </x:c>
      <x:c r="D113" s="47" t="str">
        <x:f>IF(ISNUMBER('SME-10'!M8),'SME-10'!M8,IF('SME-10'!M8="","",'SME-10'!M8))</x:f>
      </x:c>
      <x:c r="E113" s="47" t="n">
        <x:f>IF(ISNUMBER(D113),1,0)</x:f>
        <x:v>0</x:v>
      </x:c>
      <x:c r="F113" s="47" t="str">
        <x:f>IF('SME-10'!K8="","",'SME-10'!K8)</x:f>
      </x:c>
      <x:c r="G113" s="47" t="str">
        <x:f>IF('SME-10'!L8="","",'SME-10'!L8)</x:f>
      </x:c>
      <x:c r="H113" s="47" t="str">
        <x:f>IF('SME-10'!F8="","",'SME-10'!F8)</x:f>
      </x:c>
      <x:c r="I113" s="47" t="str">
        <x:f>IF('SME-10'!O8="","",'SME-10'!O8)</x:f>
      </x:c>
      <x:c r="J113" s="47" t="str">
        <x:f>IF('SME-10'!H2="","",'SME-10'!H2)</x:f>
      </x:c>
    </x:row>
    <x:row r="114" ht="42" customHeight="1">
      <x:c r="A114" s="47" t="str">
        <x:v>SME-10</x:v>
      </x:c>
      <x:c r="B114" s="47" t="str">
        <x:f>'SME-10'!A9</x:f>
        <x:v>Q02</x:v>
      </x:c>
      <x:c r="C114" s="47" t="str">
        <x:f>'SME-10'!B9</x:f>
        <x:v>Accountability and governance</x:v>
      </x:c>
      <x:c r="D114" s="47" t="str">
        <x:f>IF(ISNUMBER('SME-10'!M9),'SME-10'!M9,IF('SME-10'!M9="","",'SME-10'!M9))</x:f>
      </x:c>
      <x:c r="E114" s="47" t="n">
        <x:f>IF(ISNUMBER(D114),1,0)</x:f>
        <x:v>0</x:v>
      </x:c>
      <x:c r="F114" s="47" t="str">
        <x:f>IF('SME-10'!K9="","",'SME-10'!K9)</x:f>
      </x:c>
      <x:c r="G114" s="47" t="str">
        <x:f>IF('SME-10'!L9="","",'SME-10'!L9)</x:f>
      </x:c>
      <x:c r="H114" s="47" t="str">
        <x:f>IF('SME-10'!F9="","",'SME-10'!F9)</x:f>
      </x:c>
      <x:c r="I114" s="47" t="str">
        <x:f>IF('SME-10'!O9="","",'SME-10'!O9)</x:f>
      </x:c>
      <x:c r="J114" s="47" t="str">
        <x:f>IF('SME-10'!H2="","",'SME-10'!H2)</x:f>
      </x:c>
    </x:row>
    <x:row r="115" ht="42" customHeight="1">
      <x:c r="A115" s="47" t="str">
        <x:v>SME-10</x:v>
      </x:c>
      <x:c r="B115" s="47" t="str">
        <x:f>'SME-10'!A10</x:f>
        <x:v>Q03</x:v>
      </x:c>
      <x:c r="C115" s="47" t="str">
        <x:f>'SME-10'!B10</x:f>
        <x:v>Accountability and governance</x:v>
      </x:c>
      <x:c r="D115" s="47" t="str">
        <x:f>IF(ISNUMBER('SME-10'!M10),'SME-10'!M10,IF('SME-10'!M10="","",'SME-10'!M10))</x:f>
      </x:c>
      <x:c r="E115" s="47" t="n">
        <x:f>IF(ISNUMBER(D115),1,0)</x:f>
        <x:v>0</x:v>
      </x:c>
      <x:c r="F115" s="47" t="str">
        <x:f>IF('SME-10'!K10="","",'SME-10'!K10)</x:f>
      </x:c>
      <x:c r="G115" s="47" t="str">
        <x:f>IF('SME-10'!L10="","",'SME-10'!L10)</x:f>
      </x:c>
      <x:c r="H115" s="47" t="str">
        <x:f>IF('SME-10'!F10="","",'SME-10'!F10)</x:f>
      </x:c>
      <x:c r="I115" s="47" t="str">
        <x:f>IF('SME-10'!O10="","",'SME-10'!O10)</x:f>
      </x:c>
      <x:c r="J115" s="47" t="str">
        <x:f>IF('SME-10'!H2="","",'SME-10'!H2)</x:f>
      </x:c>
    </x:row>
    <x:row r="116" ht="42" customHeight="1">
      <x:c r="A116" s="47" t="str">
        <x:v>SME-10</x:v>
      </x:c>
      <x:c r="B116" s="47" t="str">
        <x:f>'SME-10'!A11</x:f>
        <x:v>Q04</x:v>
      </x:c>
      <x:c r="C116" s="47" t="str">
        <x:f>'SME-10'!B11</x:f>
        <x:v>Data protection</x:v>
      </x:c>
      <x:c r="D116" s="47" t="str">
        <x:f>IF(ISNUMBER('SME-10'!M11),'SME-10'!M11,IF('SME-10'!M11="","",'SME-10'!M11))</x:f>
      </x:c>
      <x:c r="E116" s="47" t="n">
        <x:f>IF(ISNUMBER(D116),1,0)</x:f>
        <x:v>0</x:v>
      </x:c>
      <x:c r="F116" s="47" t="str">
        <x:f>IF('SME-10'!K11="","",'SME-10'!K11)</x:f>
      </x:c>
      <x:c r="G116" s="47" t="str">
        <x:f>IF('SME-10'!L11="","",'SME-10'!L11)</x:f>
      </x:c>
      <x:c r="H116" s="47" t="str">
        <x:f>IF('SME-10'!F11="","",'SME-10'!F11)</x:f>
      </x:c>
      <x:c r="I116" s="47" t="str">
        <x:f>IF('SME-10'!O11="","",'SME-10'!O11)</x:f>
      </x:c>
      <x:c r="J116" s="47" t="str">
        <x:f>IF('SME-10'!H2="","",'SME-10'!H2)</x:f>
      </x:c>
    </x:row>
    <x:row r="117" ht="42" customHeight="1">
      <x:c r="A117" s="47" t="str">
        <x:v>SME-10</x:v>
      </x:c>
      <x:c r="B117" s="47" t="str">
        <x:f>'SME-10'!A12</x:f>
        <x:v>Q05</x:v>
      </x:c>
      <x:c r="C117" s="47" t="str">
        <x:f>'SME-10'!B12</x:f>
        <x:v>Third-party management</x:v>
      </x:c>
      <x:c r="D117" s="47" t="str">
        <x:f>IF(ISNUMBER('SME-10'!M12),'SME-10'!M12,IF('SME-10'!M12="","",'SME-10'!M12))</x:f>
      </x:c>
      <x:c r="E117" s="47" t="n">
        <x:f>IF(ISNUMBER(D117),1,0)</x:f>
        <x:v>0</x:v>
      </x:c>
      <x:c r="F117" s="47" t="str">
        <x:f>IF('SME-10'!K12="","",'SME-10'!K12)</x:f>
      </x:c>
      <x:c r="G117" s="47" t="str">
        <x:f>IF('SME-10'!L12="","",'SME-10'!L12)</x:f>
      </x:c>
      <x:c r="H117" s="47" t="str">
        <x:f>IF('SME-10'!F12="","",'SME-10'!F12)</x:f>
      </x:c>
      <x:c r="I117" s="47" t="str">
        <x:f>IF('SME-10'!O12="","",'SME-10'!O12)</x:f>
      </x:c>
      <x:c r="J117" s="47" t="str">
        <x:f>IF('SME-10'!H2="","",'SME-10'!H2)</x:f>
      </x:c>
    </x:row>
    <x:row r="118" ht="42" customHeight="1">
      <x:c r="A118" s="47" t="str">
        <x:v>SME-10</x:v>
      </x:c>
      <x:c r="B118" s="47" t="str">
        <x:f>'SME-10'!A13</x:f>
        <x:v>Q06</x:v>
      </x:c>
      <x:c r="C118" s="47" t="str">
        <x:f>'SME-10'!B13</x:f>
        <x:v>Access and integration security</x:v>
      </x:c>
      <x:c r="D118" s="47" t="str">
        <x:f>IF(ISNUMBER('SME-10'!M13),'SME-10'!M13,IF('SME-10'!M13="","",'SME-10'!M13))</x:f>
      </x:c>
      <x:c r="E118" s="47" t="n">
        <x:f>IF(ISNUMBER(D118),1,0)</x:f>
        <x:v>0</x:v>
      </x:c>
      <x:c r="F118" s="47" t="str">
        <x:f>IF('SME-10'!K13="","",'SME-10'!K13)</x:f>
      </x:c>
      <x:c r="G118" s="47" t="str">
        <x:f>IF('SME-10'!L13="","",'SME-10'!L13)</x:f>
      </x:c>
      <x:c r="H118" s="47" t="str">
        <x:f>IF('SME-10'!F13="","",'SME-10'!F13)</x:f>
      </x:c>
      <x:c r="I118" s="47" t="str">
        <x:f>IF('SME-10'!O13="","",'SME-10'!O13)</x:f>
      </x:c>
      <x:c r="J118" s="47" t="str">
        <x:f>IF('SME-10'!H2="","",'SME-10'!H2)</x:f>
      </x:c>
    </x:row>
    <x:row r="119" ht="42" customHeight="1">
      <x:c r="A119" s="47" t="str">
        <x:v>SME-10</x:v>
      </x:c>
      <x:c r="B119" s="47" t="str">
        <x:f>'SME-10'!A14</x:f>
        <x:v>Q07</x:v>
      </x:c>
      <x:c r="C119" s="47" t="str">
        <x:f>'SME-10'!B14</x:f>
        <x:v>Human oversight</x:v>
      </x:c>
      <x:c r="D119" s="47" t="str">
        <x:f>IF(ISNUMBER('SME-10'!M14),'SME-10'!M14,IF('SME-10'!M14="","",'SME-10'!M14))</x:f>
      </x:c>
      <x:c r="E119" s="47" t="n">
        <x:f>IF(ISNUMBER(D119),1,0)</x:f>
        <x:v>0</x:v>
      </x:c>
      <x:c r="F119" s="47" t="str">
        <x:f>IF('SME-10'!K14="","",'SME-10'!K14)</x:f>
      </x:c>
      <x:c r="G119" s="47" t="str">
        <x:f>IF('SME-10'!L14="","",'SME-10'!L14)</x:f>
      </x:c>
      <x:c r="H119" s="47" t="str">
        <x:f>IF('SME-10'!F14="","",'SME-10'!F14)</x:f>
      </x:c>
      <x:c r="I119" s="47" t="str">
        <x:f>IF('SME-10'!O14="","",'SME-10'!O14)</x:f>
      </x:c>
      <x:c r="J119" s="47" t="str">
        <x:f>IF('SME-10'!H2="","",'SME-10'!H2)</x:f>
      </x:c>
    </x:row>
    <x:row r="120" ht="42" customHeight="1">
      <x:c r="A120" s="47" t="str">
        <x:v>SME-10</x:v>
      </x:c>
      <x:c r="B120" s="47" t="str">
        <x:f>'SME-10'!A15</x:f>
        <x:v>Q08</x:v>
      </x:c>
      <x:c r="C120" s="47" t="str">
        <x:f>'SME-10'!B15</x:f>
        <x:v>Testing and assurance</x:v>
      </x:c>
      <x:c r="D120" s="47" t="str">
        <x:f>IF(ISNUMBER('SME-10'!M15),'SME-10'!M15,IF('SME-10'!M15="","",'SME-10'!M15))</x:f>
      </x:c>
      <x:c r="E120" s="47" t="n">
        <x:f>IF(ISNUMBER(D120),1,0)</x:f>
        <x:v>0</x:v>
      </x:c>
      <x:c r="F120" s="47" t="str">
        <x:f>IF('SME-10'!K15="","",'SME-10'!K15)</x:f>
      </x:c>
      <x:c r="G120" s="47" t="str">
        <x:f>IF('SME-10'!L15="","",'SME-10'!L15)</x:f>
      </x:c>
      <x:c r="H120" s="47" t="str">
        <x:f>IF('SME-10'!F15="","",'SME-10'!F15)</x:f>
      </x:c>
      <x:c r="I120" s="47" t="str">
        <x:f>IF('SME-10'!O15="","",'SME-10'!O15)</x:f>
      </x:c>
      <x:c r="J120" s="47" t="str">
        <x:f>IF('SME-10'!H2="","",'SME-10'!H2)</x:f>
      </x:c>
    </x:row>
    <x:row r="121" ht="42" customHeight="1">
      <x:c r="A121" s="47" t="str">
        <x:v>SME-10</x:v>
      </x:c>
      <x:c r="B121" s="47" t="str">
        <x:f>'SME-10'!A16</x:f>
        <x:v>Q09</x:v>
      </x:c>
      <x:c r="C121" s="47" t="str">
        <x:f>'SME-10'!B16</x:f>
        <x:v>Monitoring and change</x:v>
      </x:c>
      <x:c r="D121" s="47" t="str">
        <x:f>IF(ISNUMBER('SME-10'!M16),'SME-10'!M16,IF('SME-10'!M16="","",'SME-10'!M16))</x:f>
      </x:c>
      <x:c r="E121" s="47" t="n">
        <x:f>IF(ISNUMBER(D121),1,0)</x:f>
        <x:v>0</x:v>
      </x:c>
      <x:c r="F121" s="47" t="str">
        <x:f>IF('SME-10'!K16="","",'SME-10'!K16)</x:f>
      </x:c>
      <x:c r="G121" s="47" t="str">
        <x:f>IF('SME-10'!L16="","",'SME-10'!L16)</x:f>
      </x:c>
      <x:c r="H121" s="47" t="str">
        <x:f>IF('SME-10'!F16="","",'SME-10'!F16)</x:f>
      </x:c>
      <x:c r="I121" s="47" t="str">
        <x:f>IF('SME-10'!O16="","",'SME-10'!O16)</x:f>
      </x:c>
      <x:c r="J121" s="47" t="str">
        <x:f>IF('SME-10'!H2="","",'SME-10'!H2)</x:f>
      </x:c>
    </x:row>
    <x:row r="122" ht="42" customHeight="1">
      <x:c r="A122" s="47" t="str">
        <x:v>SME-10</x:v>
      </x:c>
      <x:c r="B122" s="47" t="str">
        <x:f>'SME-10'!A17</x:f>
        <x:v>Q10</x:v>
      </x:c>
      <x:c r="C122" s="47" t="str">
        <x:f>'SME-10'!B17</x:f>
        <x:v>Incident response</x:v>
      </x:c>
      <x:c r="D122" s="47" t="str">
        <x:f>IF(ISNUMBER('SME-10'!M17),'SME-10'!M17,IF('SME-10'!M17="","",'SME-10'!M17))</x:f>
      </x:c>
      <x:c r="E122" s="47" t="n">
        <x:f>IF(ISNUMBER(D122),1,0)</x:f>
        <x:v>0</x:v>
      </x:c>
      <x:c r="F122" s="47" t="str">
        <x:f>IF('SME-10'!K17="","",'SME-10'!K17)</x:f>
      </x:c>
      <x:c r="G122" s="47" t="str">
        <x:f>IF('SME-10'!L17="","",'SME-10'!L17)</x:f>
      </x:c>
      <x:c r="H122" s="47" t="str">
        <x:f>IF('SME-10'!F17="","",'SME-10'!F17)</x:f>
      </x:c>
      <x:c r="I122" s="47" t="str">
        <x:f>IF('SME-10'!O17="","",'SME-10'!O17)</x:f>
      </x:c>
      <x:c r="J122" s="47" t="str">
        <x:f>IF('SME-10'!H2="","",'SME-10'!H2)</x:f>
      </x:c>
    </x:row>
    <x:row r="123" ht="42" customHeight="1">
      <x:c r="A123" s="47" t="str">
        <x:v>SME-10</x:v>
      </x:c>
      <x:c r="B123" s="47" t="str">
        <x:f>'SME-10'!A18</x:f>
        <x:v>Q11</x:v>
      </x:c>
      <x:c r="C123" s="47" t="str">
        <x:f>'SME-10'!B18</x:f>
        <x:v>People and policy</x:v>
      </x:c>
      <x:c r="D123" s="47" t="str">
        <x:f>IF(ISNUMBER('SME-10'!M18),'SME-10'!M18,IF('SME-10'!M18="","",'SME-10'!M18))</x:f>
      </x:c>
      <x:c r="E123" s="47" t="n">
        <x:f>IF(ISNUMBER(D123),1,0)</x:f>
        <x:v>0</x:v>
      </x:c>
      <x:c r="F123" s="47" t="str">
        <x:f>IF('SME-10'!K18="","",'SME-10'!K18)</x:f>
      </x:c>
      <x:c r="G123" s="47" t="str">
        <x:f>IF('SME-10'!L18="","",'SME-10'!L18)</x:f>
      </x:c>
      <x:c r="H123" s="47" t="str">
        <x:f>IF('SME-10'!F18="","",'SME-10'!F18)</x:f>
      </x:c>
      <x:c r="I123" s="47" t="str">
        <x:f>IF('SME-10'!O18="","",'SME-10'!O18)</x:f>
      </x:c>
      <x:c r="J123" s="47" t="str">
        <x:f>IF('SME-10'!H2="","",'SME-10'!H2)</x:f>
      </x:c>
    </x:row>
    <x:row r="124" ht="42" customHeight="1">
      <x:c r="A124" s="47" t="str">
        <x:v>SME-10</x:v>
      </x:c>
      <x:c r="B124" s="47" t="str">
        <x:f>'SME-10'!A19</x:f>
        <x:v>Q12</x:v>
      </x:c>
      <x:c r="C124" s="47" t="str">
        <x:f>'SME-10'!B19</x:f>
        <x:v>Barriers and support</x:v>
      </x:c>
      <x:c r="D124" s="47" t="str">
        <x:f>IF(ISNUMBER('SME-10'!M19),'SME-10'!M19,IF('SME-10'!M19="","",'SME-10'!M19))</x:f>
        <x:v>N/A</x:v>
      </x:c>
      <x:c r="E124" s="47" t="n">
        <x:f>IF(ISNUMBER(D124),1,0)</x:f>
        <x:v>0</x:v>
      </x:c>
      <x:c r="F124" s="47" t="str">
        <x:f>IF('SME-10'!K19="","",'SME-10'!K19)</x:f>
      </x:c>
      <x:c r="G124" s="47" t="str">
        <x:f>IF('SME-10'!L19="","",'SME-10'!L19)</x:f>
      </x:c>
      <x:c r="H124" s="47" t="str">
        <x:f>IF('SME-10'!F19="","",'SME-10'!F19)</x:f>
      </x:c>
      <x:c r="I124" s="47" t="str">
        <x:f>IF('SME-10'!O19="","",'SME-10'!O19)</x:f>
      </x:c>
      <x:c r="J124" s="47" t="str">
        <x:f>IF('SME-10'!H2="","",'SME-10'!H2)</x:f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b232cc6872194041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24" hidden="0" customWidth="1"/>
    <x:col min="3" max="3" width="26" hidden="0" customWidth="1"/>
    <x:col min="4" max="4" width="18" hidden="0" customWidth="1"/>
    <x:col min="5" max="5" width="18" hidden="0" customWidth="1"/>
    <x:col min="6" max="6" width="16" hidden="0" customWidth="1"/>
    <x:col min="7" max="7" width="22" hidden="0" customWidth="1"/>
    <x:col min="8" max="8" width="16" hidden="0" customWidth="1"/>
  </x:cols>
  <x:sheetData>
    <x:row r="1" ht="36" customHeight="1">
      <x:c r="A1" s="3" t="str">
        <x:v>Pilot results — automatically calculated from completed evidence checks</x:v>
      </x:c>
      <x:c r="B1" s="3" t="str">
        <x:v>Pilot results — automatically calculated from completed evidence checks</x:v>
      </x:c>
      <x:c r="C1" s="3" t="str">
        <x:v>Pilot results — automatically calculated from completed evidence checks</x:v>
      </x:c>
      <x:c r="D1" s="3" t="str">
        <x:v>Pilot results — automatically calculated from completed evidence checks</x:v>
      </x:c>
      <x:c r="E1" s="3" t="str">
        <x:v>Pilot results — automatically calculated from completed evidence checks</x:v>
      </x:c>
      <x:c r="F1" s="3" t="str">
        <x:v>Pilot results — automatically calculated from completed evidence checks</x:v>
      </x:c>
      <x:c r="G1" s="3" t="str">
        <x:v>Pilot results — automatically calculated from completed evidence checks</x:v>
      </x:c>
      <x:c r="H1" s="3" t="str">
        <x:v>Pilot results — automatically calculated from completed evidence checks</x:v>
      </x:c>
    </x:row>
    <x:row r="2">
      <x:c r="A2" s="43" t="str">
        <x:v>Use results only when completion is adequate and interpret scores with the underlying evidence and confidence. Do not rank or identify SMEs publicly.</x:v>
      </x:c>
      <x:c r="B2" s="43" t="str">
        <x:v>Use results only when completion is adequate and interpret scores with the underlying evidence and confidence. Do not rank or identify SMEs publicly.</x:v>
      </x:c>
      <x:c r="C2" s="43" t="str">
        <x:v>Use results only when completion is adequate and interpret scores with the underlying evidence and confidence. Do not rank or identify SMEs publicly.</x:v>
      </x:c>
      <x:c r="D2" s="43" t="str">
        <x:v>Use results only when completion is adequate and interpret scores with the underlying evidence and confidence. Do not rank or identify SMEs publicly.</x:v>
      </x:c>
      <x:c r="E2" s="43" t="str">
        <x:v>Use results only when completion is adequate and interpret scores with the underlying evidence and confidence. Do not rank or identify SMEs publicly.</x:v>
      </x:c>
      <x:c r="F2" s="43" t="str">
        <x:v>Use results only when completion is adequate and interpret scores with the underlying evidence and confidence. Do not rank or identify SMEs publicly.</x:v>
      </x:c>
      <x:c r="G2" s="43" t="str">
        <x:v>Use results only when completion is adequate and interpret scores with the underlying evidence and confidence. Do not rank or identify SMEs publicly.</x:v>
      </x:c>
      <x:c r="H2" s="43" t="str">
        <x:v>Use results only when completion is adequate and interpret scores with the underlying evidence and confidence. Do not rank or identify SMEs publicly.</x:v>
      </x:c>
    </x:row>
    <x:row r="4">
      <x:c r="A4" s="12" t="str">
        <x:v>SME ID</x:v>
      </x:c>
      <x:c r="B4" s="13" t="str">
        <x:v>Recruitment</x:v>
      </x:c>
      <x:c r="C4" s="13" t="str">
        <x:v>Adoption stage</x:v>
      </x:c>
      <x:c r="D4" s="13" t="str">
        <x:v>Completed scores</x:v>
      </x:c>
      <x:c r="E4" s="13" t="str">
        <x:v>Average score</x:v>
      </x:c>
      <x:c r="F4" s="13" t="str">
        <x:v>% maximum</x:v>
      </x:c>
      <x:c r="G4" s="13" t="str">
        <x:v>Maturity label</x:v>
      </x:c>
      <x:c r="H4" s="14" t="str">
        <x:v>Completion</x:v>
      </x:c>
    </x:row>
    <x:row r="5">
      <x:c r="A5" s="28" t="str">
        <x:v>SME-01</x:v>
      </x:c>
      <x:c r="B5" s="28" t="str">
        <x:f>'SME-01'!B2</x:f>
      </x:c>
      <x:c r="C5" s="28" t="str">
        <x:f>'SME-01'!H2</x:f>
      </x:c>
      <x:c r="D5" s="28" t="n">
        <x:f>SUMIF('Data Log'!$A$5:$A$124,A5,'Data Log'!$E$5:$E$124)</x:f>
        <x:v>0</x:v>
      </x:c>
      <x:c r="E5" s="74" t="str">
        <x:f>IF(D5=0,"",SUMIF('Data Log'!$A$5:$A$124,A5,'Data Log'!$D$5:$D$124)/D5)</x:f>
      </x:c>
      <x:c r="F5" s="75" t="str">
        <x:f>IF(E5="","",E5/3)</x:f>
      </x:c>
      <x:c r="G5" s="28" t="str">
        <x:f>IF(E5="","Not assessed",IF(E5&lt;0.75,"Not established",IF(E5&lt;1.5,"Emerging",IF(E5&lt;2.25,"Defined","Managed"))))</x:f>
        <x:v>Not assessed</x:v>
      </x:c>
      <x:c r="H5" s="75" t="n">
        <x:f>D5/11</x:f>
        <x:v>0</x:v>
      </x:c>
    </x:row>
    <x:row r="6">
      <x:c r="A6" s="31" t="str">
        <x:v>SME-02</x:v>
      </x:c>
      <x:c r="B6" s="31" t="str">
        <x:f>'SME-02'!B2</x:f>
      </x:c>
      <x:c r="C6" s="31" t="str">
        <x:f>'SME-02'!H2</x:f>
      </x:c>
      <x:c r="D6" s="31" t="n">
        <x:f>SUMIF('Data Log'!$A$5:$A$124,A6,'Data Log'!$E$5:$E$124)</x:f>
        <x:v>0</x:v>
      </x:c>
      <x:c r="E6" s="76" t="str">
        <x:f>IF(D6=0,"",SUMIF('Data Log'!$A$5:$A$124,A6,'Data Log'!$D$5:$D$124)/D6)</x:f>
      </x:c>
      <x:c r="F6" s="77" t="str">
        <x:f>IF(E6="","",E6/3)</x:f>
      </x:c>
      <x:c r="G6" s="31" t="str">
        <x:f>IF(E6="","Not assessed",IF(E6&lt;0.75,"Not established",IF(E6&lt;1.5,"Emerging",IF(E6&lt;2.25,"Defined","Managed"))))</x:f>
        <x:v>Not assessed</x:v>
      </x:c>
      <x:c r="H6" s="77" t="n">
        <x:f>D6/11</x:f>
        <x:v>0</x:v>
      </x:c>
    </x:row>
    <x:row r="7" ht="26" customHeight="1">
      <x:c r="A7" s="31" t="str">
        <x:v>SME-03</x:v>
      </x:c>
      <x:c r="B7" s="31" t="str">
        <x:f>'SME-03'!B2</x:f>
      </x:c>
      <x:c r="C7" s="31" t="str">
        <x:f>'SME-03'!H2</x:f>
      </x:c>
      <x:c r="D7" s="31" t="n">
        <x:f>SUMIF('Data Log'!$A$5:$A$124,A7,'Data Log'!$E$5:$E$124)</x:f>
        <x:v>0</x:v>
      </x:c>
      <x:c r="E7" s="76" t="str">
        <x:f>IF(D7=0,"",SUMIF('Data Log'!$A$5:$A$124,A7,'Data Log'!$D$5:$D$124)/D7)</x:f>
      </x:c>
      <x:c r="F7" s="77" t="str">
        <x:f>IF(E7="","",E7/3)</x:f>
      </x:c>
      <x:c r="G7" s="31" t="str">
        <x:f>IF(E7="","Not assessed",IF(E7&lt;0.75,"Not established",IF(E7&lt;1.5,"Emerging",IF(E7&lt;2.25,"Defined","Managed"))))</x:f>
        <x:v>Not assessed</x:v>
      </x:c>
      <x:c r="H7" s="77" t="n">
        <x:f>D7/11</x:f>
        <x:v>0</x:v>
      </x:c>
    </x:row>
    <x:row r="8">
      <x:c r="A8" s="31" t="str">
        <x:v>SME-04</x:v>
      </x:c>
      <x:c r="B8" s="31" t="str">
        <x:f>'SME-04'!B2</x:f>
      </x:c>
      <x:c r="C8" s="31" t="str">
        <x:f>'SME-04'!H2</x:f>
      </x:c>
      <x:c r="D8" s="31" t="n">
        <x:f>SUMIF('Data Log'!$A$5:$A$124,A8,'Data Log'!$E$5:$E$124)</x:f>
        <x:v>0</x:v>
      </x:c>
      <x:c r="E8" s="76" t="str">
        <x:f>IF(D8=0,"",SUMIF('Data Log'!$A$5:$A$124,A8,'Data Log'!$D$5:$D$124)/D8)</x:f>
      </x:c>
      <x:c r="F8" s="77" t="str">
        <x:f>IF(E8="","",E8/3)</x:f>
      </x:c>
      <x:c r="G8" s="31" t="str">
        <x:f>IF(E8="","Not assessed",IF(E8&lt;0.75,"Not established",IF(E8&lt;1.5,"Emerging",IF(E8&lt;2.25,"Defined","Managed"))))</x:f>
        <x:v>Not assessed</x:v>
      </x:c>
      <x:c r="H8" s="77" t="n">
        <x:f>D8/11</x:f>
        <x:v>0</x:v>
      </x:c>
    </x:row>
    <x:row r="9">
      <x:c r="A9" s="31" t="str">
        <x:v>SME-05</x:v>
      </x:c>
      <x:c r="B9" s="31" t="str">
        <x:f>'SME-05'!B2</x:f>
      </x:c>
      <x:c r="C9" s="31" t="str">
        <x:f>'SME-05'!H2</x:f>
      </x:c>
      <x:c r="D9" s="31" t="n">
        <x:f>SUMIF('Data Log'!$A$5:$A$124,A9,'Data Log'!$E$5:$E$124)</x:f>
        <x:v>0</x:v>
      </x:c>
      <x:c r="E9" s="76" t="str">
        <x:f>IF(D9=0,"",SUMIF('Data Log'!$A$5:$A$124,A9,'Data Log'!$D$5:$D$124)/D9)</x:f>
      </x:c>
      <x:c r="F9" s="77" t="str">
        <x:f>IF(E9="","",E9/3)</x:f>
      </x:c>
      <x:c r="G9" s="31" t="str">
        <x:f>IF(E9="","Not assessed",IF(E9&lt;0.75,"Not established",IF(E9&lt;1.5,"Emerging",IF(E9&lt;2.25,"Defined","Managed"))))</x:f>
        <x:v>Not assessed</x:v>
      </x:c>
      <x:c r="H9" s="77" t="n">
        <x:f>D9/11</x:f>
        <x:v>0</x:v>
      </x:c>
    </x:row>
    <x:row r="10">
      <x:c r="A10" s="31" t="str">
        <x:v>SME-06</x:v>
      </x:c>
      <x:c r="B10" s="31" t="str">
        <x:f>'SME-06'!B2</x:f>
      </x:c>
      <x:c r="C10" s="31" t="str">
        <x:f>'SME-06'!H2</x:f>
      </x:c>
      <x:c r="D10" s="31" t="n">
        <x:f>SUMIF('Data Log'!$A$5:$A$124,A10,'Data Log'!$E$5:$E$124)</x:f>
        <x:v>0</x:v>
      </x:c>
      <x:c r="E10" s="76" t="str">
        <x:f>IF(D10=0,"",SUMIF('Data Log'!$A$5:$A$124,A10,'Data Log'!$D$5:$D$124)/D10)</x:f>
      </x:c>
      <x:c r="F10" s="77" t="str">
        <x:f>IF(E10="","",E10/3)</x:f>
      </x:c>
      <x:c r="G10" s="31" t="str">
        <x:f>IF(E10="","Not assessed",IF(E10&lt;0.75,"Not established",IF(E10&lt;1.5,"Emerging",IF(E10&lt;2.25,"Defined","Managed"))))</x:f>
        <x:v>Not assessed</x:v>
      </x:c>
      <x:c r="H10" s="77" t="n">
        <x:f>D10/11</x:f>
        <x:v>0</x:v>
      </x:c>
    </x:row>
    <x:row r="11">
      <x:c r="A11" s="31" t="str">
        <x:v>SME-07</x:v>
      </x:c>
      <x:c r="B11" s="31" t="str">
        <x:f>'SME-07'!B2</x:f>
      </x:c>
      <x:c r="C11" s="31" t="str">
        <x:f>'SME-07'!H2</x:f>
      </x:c>
      <x:c r="D11" s="31" t="n">
        <x:f>SUMIF('Data Log'!$A$5:$A$124,A11,'Data Log'!$E$5:$E$124)</x:f>
        <x:v>0</x:v>
      </x:c>
      <x:c r="E11" s="76" t="str">
        <x:f>IF(D11=0,"",SUMIF('Data Log'!$A$5:$A$124,A11,'Data Log'!$D$5:$D$124)/D11)</x:f>
      </x:c>
      <x:c r="F11" s="77" t="str">
        <x:f>IF(E11="","",E11/3)</x:f>
      </x:c>
      <x:c r="G11" s="31" t="str">
        <x:f>IF(E11="","Not assessed",IF(E11&lt;0.75,"Not established",IF(E11&lt;1.5,"Emerging",IF(E11&lt;2.25,"Defined","Managed"))))</x:f>
        <x:v>Not assessed</x:v>
      </x:c>
      <x:c r="H11" s="77" t="n">
        <x:f>D11/11</x:f>
        <x:v>0</x:v>
      </x:c>
    </x:row>
    <x:row r="12">
      <x:c r="A12" s="31" t="str">
        <x:v>SME-08</x:v>
      </x:c>
      <x:c r="B12" s="31" t="str">
        <x:f>'SME-08'!B2</x:f>
      </x:c>
      <x:c r="C12" s="31" t="str">
        <x:f>'SME-08'!H2</x:f>
      </x:c>
      <x:c r="D12" s="31" t="n">
        <x:f>SUMIF('Data Log'!$A$5:$A$124,A12,'Data Log'!$E$5:$E$124)</x:f>
        <x:v>0</x:v>
      </x:c>
      <x:c r="E12" s="76" t="str">
        <x:f>IF(D12=0,"",SUMIF('Data Log'!$A$5:$A$124,A12,'Data Log'!$D$5:$D$124)/D12)</x:f>
      </x:c>
      <x:c r="F12" s="77" t="str">
        <x:f>IF(E12="","",E12/3)</x:f>
      </x:c>
      <x:c r="G12" s="31" t="str">
        <x:f>IF(E12="","Not assessed",IF(E12&lt;0.75,"Not established",IF(E12&lt;1.5,"Emerging",IF(E12&lt;2.25,"Defined","Managed"))))</x:f>
        <x:v>Not assessed</x:v>
      </x:c>
      <x:c r="H12" s="77" t="n">
        <x:f>D12/11</x:f>
        <x:v>0</x:v>
      </x:c>
    </x:row>
    <x:row r="13">
      <x:c r="A13" s="31" t="str">
        <x:v>SME-09</x:v>
      </x:c>
      <x:c r="B13" s="31" t="str">
        <x:f>'SME-09'!B2</x:f>
      </x:c>
      <x:c r="C13" s="31" t="str">
        <x:f>'SME-09'!H2</x:f>
      </x:c>
      <x:c r="D13" s="31" t="n">
        <x:f>SUMIF('Data Log'!$A$5:$A$124,A13,'Data Log'!$E$5:$E$124)</x:f>
        <x:v>0</x:v>
      </x:c>
      <x:c r="E13" s="76" t="str">
        <x:f>IF(D13=0,"",SUMIF('Data Log'!$A$5:$A$124,A13,'Data Log'!$D$5:$D$124)/D13)</x:f>
      </x:c>
      <x:c r="F13" s="77" t="str">
        <x:f>IF(E13="","",E13/3)</x:f>
      </x:c>
      <x:c r="G13" s="31" t="str">
        <x:f>IF(E13="","Not assessed",IF(E13&lt;0.75,"Not established",IF(E13&lt;1.5,"Emerging",IF(E13&lt;2.25,"Defined","Managed"))))</x:f>
        <x:v>Not assessed</x:v>
      </x:c>
      <x:c r="H13" s="77" t="n">
        <x:f>D13/11</x:f>
        <x:v>0</x:v>
      </x:c>
    </x:row>
    <x:row r="14">
      <x:c r="A14" s="31" t="str">
        <x:v>SME-10</x:v>
      </x:c>
      <x:c r="B14" s="31" t="str">
        <x:f>'SME-10'!B2</x:f>
      </x:c>
      <x:c r="C14" s="31" t="str">
        <x:f>'SME-10'!H2</x:f>
      </x:c>
      <x:c r="D14" s="31" t="n">
        <x:f>SUMIF('Data Log'!$A$5:$A$124,A14,'Data Log'!$E$5:$E$124)</x:f>
        <x:v>0</x:v>
      </x:c>
      <x:c r="E14" s="76" t="str">
        <x:f>IF(D14=0,"",SUMIF('Data Log'!$A$5:$A$124,A14,'Data Log'!$D$5:$D$124)/D14)</x:f>
      </x:c>
      <x:c r="F14" s="77" t="str">
        <x:f>IF(E14="","",E14/3)</x:f>
      </x:c>
      <x:c r="G14" s="31" t="str">
        <x:f>IF(E14="","Not assessed",IF(E14&lt;0.75,"Not established",IF(E14&lt;1.5,"Emerging",IF(E14&lt;2.25,"Defined","Managed"))))</x:f>
        <x:v>Not assessed</x:v>
      </x:c>
      <x:c r="H14" s="77" t="n">
        <x:f>D14/11</x:f>
        <x:v>0</x:v>
      </x:c>
    </x:row>
    <x:row r="17" ht="38" customHeight="1">
      <x:c r="A17" s="12" t="str">
        <x:v>Domain</x:v>
      </x:c>
      <x:c r="B17" s="13" t="str">
        <x:v>Completed scores</x:v>
      </x:c>
      <x:c r="C17" s="13" t="str">
        <x:v>Average score</x:v>
      </x:c>
      <x:c r="D17" s="13" t="str">
        <x:v>0 count</x:v>
      </x:c>
      <x:c r="E17" s="13" t="str">
        <x:v>1 count</x:v>
      </x:c>
      <x:c r="F17" s="14" t="str">
        <x:v>2–3 count</x:v>
      </x:c>
    </x:row>
    <x:row r="18">
      <x:c r="A18" s="28" t="str">
        <x:v>AI use context</x:v>
      </x:c>
      <x:c r="B18" s="28" t="n">
        <x:f>SUMIF('Data Log'!$C$5:$C$124,A18,'Data Log'!$E$5:$E$124)</x:f>
        <x:v>0</x:v>
      </x:c>
      <x:c r="C18" s="74" t="str">
        <x:f>IF(B18=0,"",SUMIF('Data Log'!$C$5:$C$124,A18,'Data Log'!$D$5:$D$124)/B18)</x:f>
      </x:c>
      <x:c r="D18" s="28" t="n">
        <x:f>COUNTIFS('Data Log'!$C$5:$C$124,A18,'Data Log'!$D$5:$D$124,0,'Data Log'!$E$5:$E$124,1)</x:f>
        <x:v>0</x:v>
      </x:c>
      <x:c r="E18" s="28" t="n">
        <x:f>COUNTIFS('Data Log'!$C$5:$C$124,A18,'Data Log'!$D$5:$D$124,1,'Data Log'!$E$5:$E$124,1)</x:f>
        <x:v>0</x:v>
      </x:c>
      <x:c r="F18" s="28" t="n">
        <x:f>COUNTIFS('Data Log'!$C$5:$C$124,A18,'Data Log'!$D$5:$D$124,"&gt;=2",'Data Log'!$E$5:$E$124,1)</x:f>
        <x:v>0</x:v>
      </x:c>
    </x:row>
    <x:row r="19">
      <x:c r="A19" s="31" t="str">
        <x:v>Accountability and governance</x:v>
      </x:c>
      <x:c r="B19" s="31" t="n">
        <x:f>SUMIF('Data Log'!$C$5:$C$124,A19,'Data Log'!$E$5:$E$124)</x:f>
        <x:v>0</x:v>
      </x:c>
      <x:c r="C19" s="76" t="str">
        <x:f>IF(B19=0,"",SUMIF('Data Log'!$C$5:$C$124,A19,'Data Log'!$D$5:$D$124)/B19)</x:f>
      </x:c>
      <x:c r="D19" s="31" t="n">
        <x:f>COUNTIFS('Data Log'!$C$5:$C$124,A19,'Data Log'!$D$5:$D$124,0,'Data Log'!$E$5:$E$124,1)</x:f>
        <x:v>0</x:v>
      </x:c>
      <x:c r="E19" s="31" t="n">
        <x:f>COUNTIFS('Data Log'!$C$5:$C$124,A19,'Data Log'!$D$5:$D$124,1,'Data Log'!$E$5:$E$124,1)</x:f>
        <x:v>0</x:v>
      </x:c>
      <x:c r="F19" s="31" t="n">
        <x:f>COUNTIFS('Data Log'!$C$5:$C$124,A19,'Data Log'!$D$5:$D$124,"&gt;=2",'Data Log'!$E$5:$E$124,1)</x:f>
        <x:v>0</x:v>
      </x:c>
    </x:row>
    <x:row r="20">
      <x:c r="A20" s="31" t="str">
        <x:v>Data protection</x:v>
      </x:c>
      <x:c r="B20" s="31" t="n">
        <x:f>SUMIF('Data Log'!$C$5:$C$124,A20,'Data Log'!$E$5:$E$124)</x:f>
        <x:v>0</x:v>
      </x:c>
      <x:c r="C20" s="76" t="str">
        <x:f>IF(B20=0,"",SUMIF('Data Log'!$C$5:$C$124,A20,'Data Log'!$D$5:$D$124)/B20)</x:f>
      </x:c>
      <x:c r="D20" s="31" t="n">
        <x:f>COUNTIFS('Data Log'!$C$5:$C$124,A20,'Data Log'!$D$5:$D$124,0,'Data Log'!$E$5:$E$124,1)</x:f>
        <x:v>0</x:v>
      </x:c>
      <x:c r="E20" s="31" t="n">
        <x:f>COUNTIFS('Data Log'!$C$5:$C$124,A20,'Data Log'!$D$5:$D$124,1,'Data Log'!$E$5:$E$124,1)</x:f>
        <x:v>0</x:v>
      </x:c>
      <x:c r="F20" s="31" t="n">
        <x:f>COUNTIFS('Data Log'!$C$5:$C$124,A20,'Data Log'!$D$5:$D$124,"&gt;=2",'Data Log'!$E$5:$E$124,1)</x:f>
        <x:v>0</x:v>
      </x:c>
    </x:row>
    <x:row r="21">
      <x:c r="A21" s="31" t="str">
        <x:v>Third-party management</x:v>
      </x:c>
      <x:c r="B21" s="31" t="n">
        <x:f>SUMIF('Data Log'!$C$5:$C$124,A21,'Data Log'!$E$5:$E$124)</x:f>
        <x:v>0</x:v>
      </x:c>
      <x:c r="C21" s="76" t="str">
        <x:f>IF(B21=0,"",SUMIF('Data Log'!$C$5:$C$124,A21,'Data Log'!$D$5:$D$124)/B21)</x:f>
      </x:c>
      <x:c r="D21" s="31" t="n">
        <x:f>COUNTIFS('Data Log'!$C$5:$C$124,A21,'Data Log'!$D$5:$D$124,0,'Data Log'!$E$5:$E$124,1)</x:f>
        <x:v>0</x:v>
      </x:c>
      <x:c r="E21" s="31" t="n">
        <x:f>COUNTIFS('Data Log'!$C$5:$C$124,A21,'Data Log'!$D$5:$D$124,1,'Data Log'!$E$5:$E$124,1)</x:f>
        <x:v>0</x:v>
      </x:c>
      <x:c r="F21" s="31" t="n">
        <x:f>COUNTIFS('Data Log'!$C$5:$C$124,A21,'Data Log'!$D$5:$D$124,"&gt;=2",'Data Log'!$E$5:$E$124,1)</x:f>
        <x:v>0</x:v>
      </x:c>
    </x:row>
    <x:row r="22">
      <x:c r="A22" s="31" t="str">
        <x:v>Access and integration security</x:v>
      </x:c>
      <x:c r="B22" s="31" t="n">
        <x:f>SUMIF('Data Log'!$C$5:$C$124,A22,'Data Log'!$E$5:$E$124)</x:f>
        <x:v>0</x:v>
      </x:c>
      <x:c r="C22" s="76" t="str">
        <x:f>IF(B22=0,"",SUMIF('Data Log'!$C$5:$C$124,A22,'Data Log'!$D$5:$D$124)/B22)</x:f>
      </x:c>
      <x:c r="D22" s="31" t="n">
        <x:f>COUNTIFS('Data Log'!$C$5:$C$124,A22,'Data Log'!$D$5:$D$124,0,'Data Log'!$E$5:$E$124,1)</x:f>
        <x:v>0</x:v>
      </x:c>
      <x:c r="E22" s="31" t="n">
        <x:f>COUNTIFS('Data Log'!$C$5:$C$124,A22,'Data Log'!$D$5:$D$124,1,'Data Log'!$E$5:$E$124,1)</x:f>
        <x:v>0</x:v>
      </x:c>
      <x:c r="F22" s="31" t="n">
        <x:f>COUNTIFS('Data Log'!$C$5:$C$124,A22,'Data Log'!$D$5:$D$124,"&gt;=2",'Data Log'!$E$5:$E$124,1)</x:f>
        <x:v>0</x:v>
      </x:c>
    </x:row>
    <x:row r="23">
      <x:c r="A23" s="31" t="str">
        <x:v>Human oversight</x:v>
      </x:c>
      <x:c r="B23" s="31" t="n">
        <x:f>SUMIF('Data Log'!$C$5:$C$124,A23,'Data Log'!$E$5:$E$124)</x:f>
        <x:v>0</x:v>
      </x:c>
      <x:c r="C23" s="76" t="str">
        <x:f>IF(B23=0,"",SUMIF('Data Log'!$C$5:$C$124,A23,'Data Log'!$D$5:$D$124)/B23)</x:f>
      </x:c>
      <x:c r="D23" s="31" t="n">
        <x:f>COUNTIFS('Data Log'!$C$5:$C$124,A23,'Data Log'!$D$5:$D$124,0,'Data Log'!$E$5:$E$124,1)</x:f>
        <x:v>0</x:v>
      </x:c>
      <x:c r="E23" s="31" t="n">
        <x:f>COUNTIFS('Data Log'!$C$5:$C$124,A23,'Data Log'!$D$5:$D$124,1,'Data Log'!$E$5:$E$124,1)</x:f>
        <x:v>0</x:v>
      </x:c>
      <x:c r="F23" s="31" t="n">
        <x:f>COUNTIFS('Data Log'!$C$5:$C$124,A23,'Data Log'!$D$5:$D$124,"&gt;=2",'Data Log'!$E$5:$E$124,1)</x:f>
        <x:v>0</x:v>
      </x:c>
    </x:row>
    <x:row r="24">
      <x:c r="A24" s="31" t="str">
        <x:v>Testing and assurance</x:v>
      </x:c>
      <x:c r="B24" s="31" t="n">
        <x:f>SUMIF('Data Log'!$C$5:$C$124,A24,'Data Log'!$E$5:$E$124)</x:f>
        <x:v>0</x:v>
      </x:c>
      <x:c r="C24" s="76" t="str">
        <x:f>IF(B24=0,"",SUMIF('Data Log'!$C$5:$C$124,A24,'Data Log'!$D$5:$D$124)/B24)</x:f>
      </x:c>
      <x:c r="D24" s="31" t="n">
        <x:f>COUNTIFS('Data Log'!$C$5:$C$124,A24,'Data Log'!$D$5:$D$124,0,'Data Log'!$E$5:$E$124,1)</x:f>
        <x:v>0</x:v>
      </x:c>
      <x:c r="E24" s="31" t="n">
        <x:f>COUNTIFS('Data Log'!$C$5:$C$124,A24,'Data Log'!$D$5:$D$124,1,'Data Log'!$E$5:$E$124,1)</x:f>
        <x:v>0</x:v>
      </x:c>
      <x:c r="F24" s="31" t="n">
        <x:f>COUNTIFS('Data Log'!$C$5:$C$124,A24,'Data Log'!$D$5:$D$124,"&gt;=2",'Data Log'!$E$5:$E$124,1)</x:f>
        <x:v>0</x:v>
      </x:c>
    </x:row>
    <x:row r="25">
      <x:c r="A25" s="31" t="str">
        <x:v>Monitoring and change</x:v>
      </x:c>
      <x:c r="B25" s="31" t="n">
        <x:f>SUMIF('Data Log'!$C$5:$C$124,A25,'Data Log'!$E$5:$E$124)</x:f>
        <x:v>0</x:v>
      </x:c>
      <x:c r="C25" s="76" t="str">
        <x:f>IF(B25=0,"",SUMIF('Data Log'!$C$5:$C$124,A25,'Data Log'!$D$5:$D$124)/B25)</x:f>
      </x:c>
      <x:c r="D25" s="31" t="n">
        <x:f>COUNTIFS('Data Log'!$C$5:$C$124,A25,'Data Log'!$D$5:$D$124,0,'Data Log'!$E$5:$E$124,1)</x:f>
        <x:v>0</x:v>
      </x:c>
      <x:c r="E25" s="31" t="n">
        <x:f>COUNTIFS('Data Log'!$C$5:$C$124,A25,'Data Log'!$D$5:$D$124,1,'Data Log'!$E$5:$E$124,1)</x:f>
        <x:v>0</x:v>
      </x:c>
      <x:c r="F25" s="31" t="n">
        <x:f>COUNTIFS('Data Log'!$C$5:$C$124,A25,'Data Log'!$D$5:$D$124,"&gt;=2",'Data Log'!$E$5:$E$124,1)</x:f>
        <x:v>0</x:v>
      </x:c>
    </x:row>
    <x:row r="26">
      <x:c r="A26" s="31" t="str">
        <x:v>Incident response</x:v>
      </x:c>
      <x:c r="B26" s="31" t="n">
        <x:f>SUMIF('Data Log'!$C$5:$C$124,A26,'Data Log'!$E$5:$E$124)</x:f>
        <x:v>0</x:v>
      </x:c>
      <x:c r="C26" s="76" t="str">
        <x:f>IF(B26=0,"",SUMIF('Data Log'!$C$5:$C$124,A26,'Data Log'!$D$5:$D$124)/B26)</x:f>
      </x:c>
      <x:c r="D26" s="31" t="n">
        <x:f>COUNTIFS('Data Log'!$C$5:$C$124,A26,'Data Log'!$D$5:$D$124,0,'Data Log'!$E$5:$E$124,1)</x:f>
        <x:v>0</x:v>
      </x:c>
      <x:c r="E26" s="31" t="n">
        <x:f>COUNTIFS('Data Log'!$C$5:$C$124,A26,'Data Log'!$D$5:$D$124,1,'Data Log'!$E$5:$E$124,1)</x:f>
        <x:v>0</x:v>
      </x:c>
      <x:c r="F26" s="31" t="n">
        <x:f>COUNTIFS('Data Log'!$C$5:$C$124,A26,'Data Log'!$D$5:$D$124,"&gt;=2",'Data Log'!$E$5:$E$124,1)</x:f>
        <x:v>0</x:v>
      </x:c>
    </x:row>
    <x:row r="27">
      <x:c r="A27" s="31" t="str">
        <x:v>People and policy</x:v>
      </x:c>
      <x:c r="B27" s="31" t="n">
        <x:f>SUMIF('Data Log'!$C$5:$C$124,A27,'Data Log'!$E$5:$E$124)</x:f>
        <x:v>0</x:v>
      </x:c>
      <x:c r="C27" s="76" t="str">
        <x:f>IF(B27=0,"",SUMIF('Data Log'!$C$5:$C$124,A27,'Data Log'!$D$5:$D$124)/B27)</x:f>
      </x:c>
      <x:c r="D27" s="31" t="n">
        <x:f>COUNTIFS('Data Log'!$C$5:$C$124,A27,'Data Log'!$D$5:$D$124,0,'Data Log'!$E$5:$E$124,1)</x:f>
        <x:v>0</x:v>
      </x:c>
      <x:c r="E27" s="31" t="n">
        <x:f>COUNTIFS('Data Log'!$C$5:$C$124,A27,'Data Log'!$D$5:$D$124,1,'Data Log'!$E$5:$E$124,1)</x:f>
        <x:v>0</x:v>
      </x:c>
      <x:c r="F27" s="31" t="n">
        <x:f>COUNTIFS('Data Log'!$C$5:$C$124,A27,'Data Log'!$D$5:$D$124,"&gt;=2",'Data Log'!$E$5:$E$124,1)</x:f>
        <x:v>0</x:v>
      </x:c>
    </x:row>
    <x:row r="30" ht="36" customHeight="1">
      <x:c r="A30" s="12" t="str">
        <x:v>Score</x:v>
      </x:c>
      <x:c r="B30" s="13" t="str">
        <x:v>Maturity description</x:v>
      </x:c>
      <x:c r="C30" s="14" t="str">
        <x:v>Research interpretation</x:v>
      </x:c>
    </x:row>
    <x:row r="31">
      <x:c r="A31" s="37" t="n">
        <x:v>0</x:v>
      </x:c>
      <x:c r="B31" s="28" t="str">
        <x:v>Absent/not considered</x:v>
      </x:c>
      <x:c r="C31" s="28" t="str">
        <x:v>No reported practice or evidence.</x:v>
      </x:c>
    </x:row>
    <x:row r="32">
      <x:c r="A32" s="38" t="n">
        <x:v>1</x:v>
      </x:c>
      <x:c r="B32" s="31" t="str">
        <x:v>Informal or ad hoc</x:v>
      </x:c>
      <x:c r="C32" s="31" t="str">
        <x:v>A reported practice exists but is not both documented and implemented.</x:v>
      </x:c>
    </x:row>
    <x:row r="33">
      <x:c r="A33" s="38" t="n">
        <x:v>2</x:v>
      </x:c>
      <x:c r="B33" s="31" t="str">
        <x:v>Documented and implemented</x:v>
      </x:c>
      <x:c r="C33" s="31" t="str">
        <x:v>The practice is recorded and operating, but routine review was not demonstrated.</x:v>
      </x:c>
    </x:row>
    <x:row r="34">
      <x:c r="A34" s="38" t="n">
        <x:v>3</x:v>
      </x:c>
      <x:c r="B34" s="31" t="str">
        <x:v>Managed and reviewed</x:v>
      </x:c>
      <x:c r="C34" s="31" t="str">
        <x:v>The practice is recorded, operating, monitored, and periodically reviewed.</x:v>
      </x:c>
    </x:row>
  </x:sheetData>
  <x:mergeCells>
    <x:mergeCell ref="A1:H1"/>
    <x:mergeCell ref="A2:H2"/>
  </x:mergeCells>
  <x:conditionalFormatting sqref="G5:G14">
    <x:cfRule type="containsText" dxfId="40" priority="1" operator="containsText" text="Not established"/>
    <x:cfRule type="containsText" dxfId="41" priority="2" operator="containsText" text="Emerging"/>
    <x:cfRule type="containsText" dxfId="42" priority="3" operator="containsText" text="Defined"/>
    <x:cfRule type="containsText" dxfId="43" priority="4" operator="containsText" text="Managed"/>
  </x:conditionalFormatting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95" hidden="0" customWidth="1"/>
    <x:col min="3" max="3" width="70" hidden="0" customWidth="1"/>
    <x:col min="4" max="4" width="50" hidden="0" customWidth="1"/>
  </x:cols>
  <x:sheetData>
    <x:row r="1" ht="36" customHeight="1">
      <x:c r="A1" s="3" t="str">
        <x:v>Authoritative sources and framework traceability</x:v>
      </x:c>
      <x:c r="B1" s="3" t="str">
        <x:v>Authoritative sources and framework traceability</x:v>
      </x:c>
      <x:c r="C1" s="3" t="str">
        <x:v>Authoritative sources and framework traceability</x:v>
      </x:c>
      <x:c r="D1" s="3" t="str">
        <x:v>Authoritative sources and framework traceability</x:v>
      </x:c>
    </x:row>
    <x:row r="3" ht="34" customHeight="1">
      <x:c r="A3" s="12" t="str">
        <x:v>Source</x:v>
      </x:c>
      <x:c r="B3" s="13" t="str">
        <x:v>APA 7 reference</x:v>
      </x:c>
      <x:c r="C3" s="13" t="str">
        <x:v>URL</x:v>
      </x:c>
      <x:c r="D3" s="14" t="str">
        <x:v>Used for</x:v>
      </x:c>
    </x:row>
    <x:row r="4" ht="76" customHeight="1">
      <x:c r="A4" s="28" t="str">
        <x:v>S1</x:v>
      </x:c>
      <x:c r="B4" s="28" t="str">
        <x:v>AI Verify Foundation, &amp; Infocomm Media Development Authority. (2024). Model AI governance framework for generative AI.</x:v>
      </x:c>
      <x:c r="C4" s="28" t="str">
        <x:v>https://aiverifyfoundation.sg/wp-content/uploads/2024/06/Model-AI-Governance-Framework-for-Generative-AI-19-June-2024.pdf</x:v>
      </x:c>
      <x:c r="D4" s="28" t="str">
        <x:v>Singapore governance dimensions, accountability, data, assurance, and incident reporting</x:v>
      </x:c>
    </x:row>
    <x:row r="5" ht="76" customHeight="1">
      <x:c r="A5" s="31" t="str">
        <x:v>S2</x:v>
      </x:c>
      <x:c r="B5" s="31" t="str">
        <x:v>Autio, C., Schwartz, R., Dunietz, J., Jain, S., Stanley, M., Tabassi, E., Hall, P., &amp; Roberts, K. (2024). Artificial intelligence risk management framework: Generative artificial intelligence profile (NIST AI 600-1). National Institute of Standards and Technology.</x:v>
      </x:c>
      <x:c r="C5" s="31" t="str">
        <x:v>https://doi.org/10.6028/NIST.AI.600-1</x:v>
      </x:c>
      <x:c r="D5" s="31" t="str">
        <x:v>Generative AI risks and risk-management actions</x:v>
      </x:c>
    </x:row>
    <x:row r="6" ht="76" customHeight="1">
      <x:c r="A6" s="31" t="str">
        <x:v>S3</x:v>
      </x:c>
      <x:c r="B6" s="31" t="str">
        <x:v>International Organization for Standardization. (2023). Information technology—Artificial intelligence—Management system (ISO/IEC Standard No. 42001:2023).</x:v>
      </x:c>
      <x:c r="C6" s="31" t="str">
        <x:v>https://www.iso.org/standard/42001</x:v>
      </x:c>
      <x:c r="D6" s="31" t="str">
        <x:v>Accountability, competence, monitoring, and improvement</x:v>
      </x:c>
    </x:row>
    <x:row r="7" ht="76" customHeight="1">
      <x:c r="A7" s="31" t="str">
        <x:v>S4</x:v>
      </x:c>
      <x:c r="B7" s="31" t="str">
        <x:v>OWASP GenAI Security Project. (2026). OWASP GenAI LLM Top 10 2026.</x:v>
      </x:c>
      <x:c r="C7" s="31" t="str">
        <x:v>https://genai.owasp.org/resource/owasp-genai-llm-top-10-2026/</x:v>
      </x:c>
      <x:c r="D7" s="31" t="str">
        <x:v>Generative AI application security risks</x:v>
      </x:c>
    </x:row>
    <x:row r="8" ht="76" customHeight="1">
      <x:c r="A8" s="31" t="str">
        <x:v>S5</x:v>
      </x:c>
      <x:c r="B8" s="31" t="str">
        <x:v>Pascoe, C., Quinn, S., &amp; Scarfone, K. (2024). The NIST cybersecurity framework (CSF) 2.0 (NIST CSWP 29). National Institute of Standards and Technology.</x:v>
      </x:c>
      <x:c r="C8" s="31" t="str">
        <x:v>https://doi.org/10.6028/NIST.CSWP.29</x:v>
      </x:c>
      <x:c r="D8" s="31" t="str">
        <x:v>Governance, supply chain, identity, awareness, and response</x:v>
      </x:c>
    </x:row>
    <x:row r="9" ht="76" customHeight="1">
      <x:c r="A9" s="31" t="str">
        <x:v>S6</x:v>
      </x:c>
      <x:c r="B9" s="31" t="str">
        <x:v>Tabassi, E. (2023). Artificial intelligence risk management framework (AI RMF 1.0) (NIST AI 100-1). National Institute of Standards and Technology.</x:v>
      </x:c>
      <x:c r="C9" s="31" t="str">
        <x:v>https://doi.org/10.6028/NIST.AI.100-1</x:v>
      </x:c>
      <x:c r="D9" s="31" t="str">
        <x:v>Govern, Map, Measure, and Manage structure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60edf52649654f4c"/>
  </x:tableParts>
</x:worksheet>
</file>